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hidePivotFieldList="1" defaultThemeVersion="166925"/>
  <mc:AlternateContent xmlns:mc="http://schemas.openxmlformats.org/markup-compatibility/2006">
    <mc:Choice Requires="x15">
      <x15ac:absPath xmlns:x15ac="http://schemas.microsoft.com/office/spreadsheetml/2010/11/ac" url="/Users/adellasalsabila/Downloads/"/>
    </mc:Choice>
  </mc:AlternateContent>
  <xr:revisionPtr revIDLastSave="0" documentId="8_{B43B61E2-9872-2B42-99F4-65A5D6C9F74C}" xr6:coauthVersionLast="47" xr6:coauthVersionMax="47" xr10:uidLastSave="{00000000-0000-0000-0000-000000000000}"/>
  <bookViews>
    <workbookView xWindow="0" yWindow="0" windowWidth="28800" windowHeight="18000" activeTab="1" xr2:uid="{1D9E0665-D52B-EB40-8BA5-896AB9984C6A}"/>
  </bookViews>
  <sheets>
    <sheet name="Raw_Data" sheetId="1" r:id="rId1"/>
    <sheet name="SalesData" sheetId="2" r:id="rId2"/>
    <sheet name="Pivot" sheetId="3" r:id="rId3"/>
    <sheet name="Dashboard" sheetId="4" r:id="rId4"/>
  </sheets>
  <definedNames>
    <definedName name="Pemotong_Category">#N/A</definedName>
    <definedName name="Pemotong_Customer_Type">#N/A</definedName>
    <definedName name="Pemotong_Sales_Channel">#N/A</definedName>
    <definedName name="Pemotong_Size">#N/A</definedName>
    <definedName name="PRODUCT_DB">Raw_Data!$O$1:$Q$9</definedName>
    <definedName name="PRODUCT_DBNEW">Raw_Data!$M$1:$O$9</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7" i="2" l="1"/>
  <c r="P5" i="2"/>
  <c r="O5" i="2"/>
  <c r="P2" i="2"/>
  <c r="O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3" i="2"/>
  <c r="N4" i="2"/>
  <c r="N5" i="2"/>
  <c r="N6" i="2"/>
  <c r="N7" i="2"/>
  <c r="N8" i="2"/>
  <c r="N9" i="2"/>
  <c r="N10" i="2"/>
  <c r="N11" i="2"/>
  <c r="N12" i="2"/>
  <c r="N2" i="2"/>
  <c r="A25" i="3"/>
</calcChain>
</file>

<file path=xl/sharedStrings.xml><?xml version="1.0" encoding="utf-8"?>
<sst xmlns="http://schemas.openxmlformats.org/spreadsheetml/2006/main" count="9931" uniqueCount="761">
  <si>
    <t>Order_ID</t>
  </si>
  <si>
    <t>Date</t>
  </si>
  <si>
    <t>Product_Name</t>
  </si>
  <si>
    <t>Category</t>
  </si>
  <si>
    <t>Size</t>
  </si>
  <si>
    <t>Color</t>
  </si>
  <si>
    <t>Price</t>
  </si>
  <si>
    <t>Quantity</t>
  </si>
  <si>
    <t>Sales_Channel</t>
  </si>
  <si>
    <t>Customer_Type</t>
  </si>
  <si>
    <t>Total_Sales</t>
  </si>
  <si>
    <t>Luna Midi Dress</t>
  </si>
  <si>
    <t>Dress</t>
  </si>
  <si>
    <t>Aira Tunik</t>
  </si>
  <si>
    <t>Tunik</t>
  </si>
  <si>
    <t>Hana Blouse</t>
  </si>
  <si>
    <t>Blouse</t>
  </si>
  <si>
    <t>Nara Cardigan</t>
  </si>
  <si>
    <t>Outerwear</t>
  </si>
  <si>
    <t>Zara Pleated Skirt</t>
  </si>
  <si>
    <t>Bottom</t>
  </si>
  <si>
    <t>Bella Square Hijab</t>
  </si>
  <si>
    <t>Accessories</t>
  </si>
  <si>
    <t>Khansa Maxi Dress</t>
  </si>
  <si>
    <t>Rhea Blouse</t>
  </si>
  <si>
    <t>ORD0001</t>
  </si>
  <si>
    <t>XL</t>
  </si>
  <si>
    <t>Mocca</t>
  </si>
  <si>
    <t>Offline</t>
  </si>
  <si>
    <t>New</t>
  </si>
  <si>
    <t>ORD0002</t>
  </si>
  <si>
    <t>L</t>
  </si>
  <si>
    <t>Cream</t>
  </si>
  <si>
    <t>ORD0003</t>
  </si>
  <si>
    <t>Navy</t>
  </si>
  <si>
    <t>ORD0004</t>
  </si>
  <si>
    <t>M</t>
  </si>
  <si>
    <t>Returning</t>
  </si>
  <si>
    <t>ORD0005</t>
  </si>
  <si>
    <t>Online</t>
  </si>
  <si>
    <t>ORD0006</t>
  </si>
  <si>
    <t>Sage</t>
  </si>
  <si>
    <t>ORD0007</t>
  </si>
  <si>
    <t>ORD0008</t>
  </si>
  <si>
    <t>ORD0009</t>
  </si>
  <si>
    <t>Maroon</t>
  </si>
  <si>
    <t>ORD0010</t>
  </si>
  <si>
    <t>S</t>
  </si>
  <si>
    <t>ORD0011</t>
  </si>
  <si>
    <t>ORD0012</t>
  </si>
  <si>
    <t>ORD0013</t>
  </si>
  <si>
    <t>ORD0014</t>
  </si>
  <si>
    <t>ORD0015</t>
  </si>
  <si>
    <t>ORD0016</t>
  </si>
  <si>
    <t>ORD0017</t>
  </si>
  <si>
    <t>ORD0018</t>
  </si>
  <si>
    <t>ORD0019</t>
  </si>
  <si>
    <t>ORD0020</t>
  </si>
  <si>
    <t>ORD0021</t>
  </si>
  <si>
    <t>ORD0022</t>
  </si>
  <si>
    <t>Black</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</si>
  <si>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</si>
  <si>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</si>
  <si>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</si>
  <si>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</si>
  <si>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</si>
  <si>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</si>
  <si>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</si>
  <si>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</si>
  <si>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</si>
  <si>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</si>
  <si>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</si>
  <si>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</si>
  <si>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</si>
  <si>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</si>
  <si>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</si>
  <si>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</si>
  <si>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</si>
  <si>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</si>
  <si>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</si>
  <si>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</si>
  <si>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</si>
  <si>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</si>
  <si>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</si>
  <si>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</si>
  <si>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</si>
  <si>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</si>
  <si>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</si>
  <si>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</si>
  <si>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</si>
  <si>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</si>
  <si>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</si>
  <si>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</si>
  <si>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</si>
  <si>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</si>
  <si>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</si>
  <si>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</si>
  <si>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</si>
  <si>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</si>
  <si>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</si>
  <si>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</si>
  <si>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</si>
  <si>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</si>
  <si>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</si>
  <si>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</si>
  <si>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</si>
  <si>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</si>
  <si>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</si>
  <si>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</si>
  <si>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</si>
  <si>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</si>
  <si>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</si>
  <si>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</si>
  <si>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</si>
  <si>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</si>
  <si>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</si>
  <si>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</si>
  <si>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</si>
  <si>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</si>
  <si>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</si>
  <si>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</si>
  <si>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</si>
  <si>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</si>
  <si>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</si>
  <si>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</si>
  <si>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</si>
  <si>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</si>
  <si>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</si>
  <si>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</si>
  <si>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</si>
  <si>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</si>
  <si>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</si>
  <si>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</si>
  <si>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</si>
  <si>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</si>
  <si>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</si>
  <si>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</si>
  <si>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</si>
  <si>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</si>
  <si>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</si>
  <si>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</si>
  <si>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</si>
  <si>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</si>
  <si>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</si>
  <si>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</si>
  <si>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</si>
  <si>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</si>
  <si>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</si>
  <si>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</si>
  <si>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</si>
  <si>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</si>
  <si>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</si>
  <si>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</si>
  <si>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</si>
  <si>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</si>
  <si>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</si>
  <si>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</si>
  <si>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</si>
  <si>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</si>
  <si>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</si>
  <si>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</si>
  <si>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</si>
  <si>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</si>
  <si>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</si>
  <si>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</si>
  <si>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</si>
  <si>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</si>
  <si>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</si>
  <si>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</si>
  <si>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</si>
  <si>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</si>
  <si>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</si>
  <si>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</si>
  <si>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</si>
  <si>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</si>
  <si>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</si>
  <si>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</si>
  <si>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</si>
  <si>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</si>
  <si>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</si>
  <si>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</si>
  <si>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</si>
  <si>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</si>
  <si>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</si>
  <si>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</si>
  <si>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</si>
  <si>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</si>
  <si>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</si>
  <si>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</si>
  <si>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</si>
  <si>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</si>
  <si>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</si>
  <si>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</si>
  <si>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</si>
  <si>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</si>
  <si>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</si>
  <si>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</si>
  <si>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</si>
  <si>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</si>
  <si>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</si>
  <si>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</si>
  <si>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</si>
  <si>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</si>
  <si>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</si>
  <si>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</si>
  <si>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</si>
  <si>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</si>
  <si>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</si>
  <si>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</si>
  <si>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</si>
  <si>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</si>
  <si>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</si>
  <si>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</si>
  <si>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</si>
  <si>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</si>
  <si>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</si>
  <si>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</si>
  <si>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</si>
  <si>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</si>
  <si>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</si>
  <si>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</si>
  <si>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</si>
  <si>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</si>
  <si>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</si>
  <si>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</si>
  <si>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</si>
  <si>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</si>
  <si>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</si>
  <si>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</si>
  <si>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</si>
  <si>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</si>
  <si>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</si>
  <si>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</si>
  <si>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</si>
  <si>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</si>
  <si>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</si>
  <si>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</si>
  <si>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</si>
  <si>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</si>
  <si>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</si>
  <si>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</si>
  <si>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</si>
  <si>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</si>
  <si>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</si>
  <si>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</si>
  <si>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</si>
  <si>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</si>
  <si>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</si>
  <si>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</si>
  <si>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</si>
  <si>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</si>
  <si>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</si>
  <si>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</si>
  <si>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</si>
  <si>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</si>
  <si>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</si>
  <si>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</si>
  <si>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</si>
  <si>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</si>
  <si>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</si>
  <si>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</si>
  <si>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</si>
  <si>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</si>
  <si>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</si>
  <si>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</si>
  <si>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</si>
  <si>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</si>
  <si>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</si>
  <si>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</si>
  <si>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</si>
  <si>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</si>
  <si>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</si>
  <si>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</si>
  <si>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</si>
  <si>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</si>
  <si>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</si>
  <si>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</si>
  <si>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</si>
  <si>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</si>
  <si>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</si>
  <si>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</si>
  <si>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</si>
  <si>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</si>
  <si>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</si>
  <si>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</si>
  <si>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</si>
  <si>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</si>
  <si>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</si>
  <si>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</si>
  <si>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</si>
  <si>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</si>
  <si>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</si>
  <si>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</si>
  <si>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</si>
  <si>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</si>
  <si>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</si>
  <si>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</si>
  <si>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</si>
  <si>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</si>
  <si>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</si>
  <si>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</si>
  <si>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</si>
  <si>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</si>
  <si>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</si>
  <si>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</si>
  <si>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</si>
  <si>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</si>
  <si>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</si>
  <si>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</si>
  <si>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</si>
  <si>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</si>
  <si>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</si>
  <si>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</si>
  <si>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</si>
  <si>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</si>
  <si>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</si>
  <si>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</si>
  <si>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</si>
  <si>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</si>
  <si>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</si>
  <si>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</si>
  <si>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</si>
  <si>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</si>
  <si>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</si>
  <si>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</si>
  <si>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</si>
  <si>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</si>
  <si>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</si>
  <si>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</si>
  <si>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</si>
  <si>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</si>
  <si>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</si>
  <si>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</si>
  <si>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</si>
  <si>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</si>
  <si>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</si>
  <si>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</si>
  <si>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</si>
  <si>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</si>
  <si>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</si>
  <si>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</si>
  <si>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</si>
  <si>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</si>
  <si>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</si>
  <si>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</si>
  <si>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</si>
  <si>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</si>
  <si>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</si>
  <si>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</si>
  <si>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</si>
  <si>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</si>
  <si>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</si>
  <si>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</si>
  <si>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</si>
  <si>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</si>
  <si>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</si>
  <si>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</si>
  <si>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</si>
  <si>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</si>
  <si>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</si>
  <si>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</si>
  <si>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</si>
  <si>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</si>
  <si>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</si>
  <si>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</si>
  <si>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</si>
  <si>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</si>
  <si>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</si>
  <si>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</si>
  <si>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</si>
  <si>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</si>
  <si>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</si>
  <si>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</si>
  <si>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</si>
  <si>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</si>
  <si>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</si>
  <si>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</si>
  <si>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</si>
  <si>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</si>
  <si>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</si>
  <si>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</si>
  <si>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</si>
  <si>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</si>
  <si>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</si>
  <si>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</si>
  <si>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</si>
  <si>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</si>
  <si>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</si>
  <si>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</si>
  <si>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</si>
  <si>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</si>
  <si>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</si>
  <si>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</si>
  <si>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</si>
  <si>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</si>
  <si>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</si>
  <si>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</si>
  <si>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</si>
  <si>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</si>
  <si>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</si>
  <si>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</si>
  <si>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</si>
  <si>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</si>
  <si>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</si>
  <si>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</si>
  <si>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</si>
  <si>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</si>
  <si>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</si>
  <si>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</si>
  <si>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</si>
  <si>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</si>
  <si>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</si>
  <si>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</si>
  <si>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</si>
  <si>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</si>
  <si>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</si>
  <si>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</si>
  <si>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</si>
  <si>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</si>
  <si>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</si>
  <si>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</si>
  <si>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</si>
  <si>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</si>
  <si>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</si>
  <si>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</si>
  <si>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</si>
  <si>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</si>
  <si>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</si>
  <si>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</si>
  <si>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</si>
  <si>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</si>
  <si>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</si>
  <si>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</si>
  <si>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</si>
  <si>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</si>
  <si>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</si>
  <si>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</si>
  <si>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</si>
  <si>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</si>
  <si>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</si>
  <si>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</si>
  <si>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</si>
  <si>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</si>
  <si>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</si>
  <si>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</si>
  <si>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</si>
  <si>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</si>
  <si>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</si>
  <si>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</si>
  <si>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</si>
  <si>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</si>
  <si>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</si>
  <si>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</si>
  <si>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</si>
  <si>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</si>
  <si>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</si>
  <si>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</si>
  <si>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</si>
  <si>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</si>
  <si>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</si>
  <si>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</si>
  <si>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</si>
  <si>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</si>
  <si>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</si>
  <si>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</si>
  <si>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</si>
  <si>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</si>
  <si>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</si>
  <si>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</si>
  <si>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</si>
  <si>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</si>
  <si>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</si>
  <si>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</si>
  <si>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</si>
  <si>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</si>
  <si>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</si>
  <si>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</si>
  <si>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</si>
  <si>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</si>
  <si>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</si>
  <si>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</si>
  <si>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</si>
  <si>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</si>
  <si>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</si>
  <si>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</si>
  <si>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</si>
  <si>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</si>
  <si>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</si>
  <si>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</si>
  <si>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</si>
  <si>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</si>
  <si>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</si>
  <si>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</si>
  <si>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</si>
  <si>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</si>
  <si>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</si>
  <si>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</si>
  <si>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</si>
  <si>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</si>
  <si>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</si>
  <si>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</si>
  <si>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</si>
  <si>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</si>
  <si>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</si>
  <si>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</si>
  <si>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</si>
  <si>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</si>
  <si>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</si>
  <si>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</si>
  <si>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</si>
  <si>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</si>
  <si>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</si>
  <si>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</si>
  <si>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</si>
  <si>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</si>
  <si>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</si>
  <si>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</si>
  <si>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</si>
  <si>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</si>
  <si>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</si>
  <si>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</si>
  <si>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</si>
  <si>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</si>
  <si>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</si>
  <si>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</si>
  <si>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</si>
  <si>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</si>
  <si>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</si>
  <si>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</si>
  <si>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</si>
  <si>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</si>
  <si>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</si>
  <si>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</si>
  <si>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</si>
  <si>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</si>
  <si>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</si>
  <si>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</si>
  <si>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</si>
  <si>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</si>
  <si>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</si>
  <si>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</si>
  <si>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</si>
  <si>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</si>
  <si>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</si>
  <si>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</si>
  <si>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</si>
  <si>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</si>
  <si>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</si>
  <si>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</si>
  <si>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</si>
  <si>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</si>
  <si>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</si>
  <si>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</si>
  <si>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</si>
  <si>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</si>
  <si>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</si>
  <si>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</si>
  <si>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</si>
  <si>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</si>
  <si>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</si>
  <si>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</si>
  <si>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</si>
  <si>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</si>
  <si>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</si>
  <si>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</si>
  <si>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</si>
  <si>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</si>
  <si>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</si>
  <si>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</si>
  <si>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</si>
  <si>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</si>
  <si>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</si>
  <si>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</si>
  <si>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</si>
  <si>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</si>
  <si>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</si>
  <si>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</si>
  <si>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</si>
  <si>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</si>
  <si>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</si>
  <si>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</si>
  <si>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</si>
  <si>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</si>
  <si>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</si>
  <si>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</si>
  <si>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</si>
  <si>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</si>
  <si>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</si>
  <si>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</si>
  <si>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</si>
  <si>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</si>
  <si>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</si>
  <si>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</si>
  <si>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</si>
  <si>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</si>
  <si>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</si>
  <si>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</si>
  <si>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</si>
  <si>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</si>
  <si>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</si>
  <si>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</si>
  <si>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</si>
  <si>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</si>
  <si>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</si>
  <si>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</si>
  <si>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</si>
  <si>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</si>
  <si>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</si>
  <si>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</si>
  <si>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</si>
  <si>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</si>
  <si>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</si>
  <si>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</si>
  <si>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</si>
  <si>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</si>
  <si>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</si>
  <si>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</si>
  <si>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</si>
  <si>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</si>
  <si>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</si>
  <si>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</si>
  <si>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</si>
  <si>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</si>
  <si>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</si>
  <si>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</si>
  <si>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</si>
  <si>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</si>
  <si>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</si>
  <si>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</si>
  <si>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</si>
  <si>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</si>
  <si>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</si>
  <si>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</si>
  <si>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</si>
  <si>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</si>
  <si>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</si>
  <si>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</si>
  <si>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</si>
  <si>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</si>
  <si>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</si>
  <si>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</si>
  <si>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</si>
  <si>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</si>
  <si>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</si>
  <si>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</si>
  <si>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</si>
  <si>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</si>
  <si>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</si>
  <si>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</si>
  <si>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</si>
  <si>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</si>
  <si>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</si>
  <si>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</si>
  <si>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</si>
  <si>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</si>
  <si>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</si>
  <si>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</si>
  <si>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</si>
  <si>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</si>
  <si>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</si>
  <si>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</si>
  <si>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</si>
  <si>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</si>
  <si>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</si>
  <si>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</si>
  <si>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</si>
  <si>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</si>
  <si>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</si>
  <si>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</si>
  <si>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</si>
  <si>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</si>
  <si>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</si>
  <si>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</si>
  <si>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</si>
  <si>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</si>
  <si>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</si>
  <si>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</si>
  <si>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</si>
  <si>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</si>
  <si>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</si>
  <si>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</si>
  <si>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</si>
  <si>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</si>
  <si>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</si>
  <si>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</si>
  <si>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</si>
  <si>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</si>
  <si>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</si>
  <si>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</si>
  <si>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</si>
  <si>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</si>
  <si>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</si>
  <si>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</si>
  <si>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</si>
  <si>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</si>
  <si>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</si>
  <si>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</si>
  <si>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</si>
  <si>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</si>
  <si>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</si>
  <si>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</si>
  <si>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</si>
  <si>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</si>
  <si>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</si>
  <si>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</si>
  <si>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</si>
  <si>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</si>
  <si>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</si>
  <si>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</si>
  <si>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</si>
  <si>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</si>
  <si>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</si>
  <si>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</si>
  <si>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</si>
  <si>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</si>
  <si>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</si>
  <si>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</si>
  <si>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</si>
  <si>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</si>
  <si>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</si>
  <si>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</si>
  <si>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</si>
  <si>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</si>
  <si>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</si>
  <si>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</si>
  <si>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</si>
  <si>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</si>
  <si>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</si>
  <si>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</si>
  <si>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</si>
  <si>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</si>
  <si>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</si>
  <si>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</si>
  <si>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</si>
  <si>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</si>
  <si>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</si>
  <si>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</si>
  <si>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</si>
  <si>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</si>
  <si>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</si>
  <si>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</si>
  <si>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</si>
  <si>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Label Baris</t>
  </si>
  <si>
    <t>Total Keseluruhan</t>
  </si>
  <si>
    <t>Jan</t>
  </si>
  <si>
    <t>Feb</t>
  </si>
  <si>
    <t>Mar</t>
  </si>
  <si>
    <t>Apr</t>
  </si>
  <si>
    <t>Mei</t>
  </si>
  <si>
    <t>Jun</t>
  </si>
  <si>
    <t>Jumlah dari Total_Sales</t>
  </si>
  <si>
    <t>Jumlah dari Quantity</t>
  </si>
  <si>
    <t>MONTHLY GROWTH %</t>
  </si>
  <si>
    <t>=</t>
  </si>
  <si>
    <t>Hitung Total Sales per Transaksi</t>
  </si>
  <si>
    <t>Total Revenue Otomatis (KPI Card)</t>
  </si>
  <si>
    <t>Total Item Terjual untuk Dress Size M</t>
  </si>
  <si>
    <t>Jumlah Transaksi Customer Returning</t>
  </si>
  <si>
    <t>Diskon Otomatis Jika Beli Banyak</t>
  </si>
  <si>
    <t>Noted: Jika Quantity ≥ 3 → Diskon 10%</t>
  </si>
  <si>
    <t>Status Ukuran Laris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</si>
</sst>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6" x14ac:knownFonts="1">
    <font>
      <sz val="12"/>
      <color theme="1"/>
      <name val="Calibri"/>
      <family val="2"/>
      <charset val="1"/>
      <scheme val="minor"/>
    </font>
    <font>
      <b/>
      <sz val="12"/>
      <color theme="1"/>
      <name val="Calibri"/>
      <family val="2"/>
      <scheme val="minor"/>
    </font>
    <font>
      <b/>
      <sz val="12"/>
      <color rgb="FF000000"/>
      <name val="Calibri"/>
      <family val="2"/>
      <charset val="1"/>
      <scheme val="minor"/>
    </font>
    <font>
      <sz val="12"/>
      <color rgb="FF000000"/>
      <name val="Calibri"/>
      <family val="2"/>
      <charset val="1"/>
      <scheme val="minor"/>
    </font>
    <font>
      <sz val="12"/>
      <color theme="1"/>
      <name val="Calibri"/>
      <family val="2"/>
      <scheme val="minor"/>
    </font>
    <font>
      <sz val="12"/>
      <color rgb="FF000000"/>
      <name val="Calibri (Badan)"/>
      <charset val="1"/>
    </font>
  </fonts>
  <fills count="4">
    <fill>
      <patternFill patternType="none"/>
    </fill>
    <fill>
      <patternFill patternType="gray125"/>
    </fill>
    <fill>
      <patternFill patternType="solid">
        <fgColor theme="7" tint="0.59999389629810485"/>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4">
    <xf numFmtId="0" fontId="0" fillId="0" borderId="0" xfId="0"/>
    <xf numFmtId="0" fontId="0" fillId="0" borderId="0" xfId="0" applyAlignment="1">
      <alignment horizontal="center"/>
    </xf>
    <xf numFmtId="0" fontId="0" fillId="0" borderId="0" xfId="0" applyAlignment="1">
      <alignment horizontal="center" vertical="center"/>
    </xf>
    <xf numFmtId="14" fontId="0" fillId="0" borderId="0" xfId="0" applyNumberFormat="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horizontal="center"/>
    </xf>
    <xf numFmtId="0" fontId="2" fillId="0" borderId="0" xfId="0" applyFont="1"/>
    <xf numFmtId="0" fontId="3" fillId="0" borderId="0" xfId="0" applyFont="1"/>
    <xf numFmtId="0" fontId="1" fillId="0" borderId="1" xfId="0" applyFont="1" applyBorder="1" applyAlignment="1">
      <alignment horizontal="left"/>
    </xf>
    <xf numFmtId="0" fontId="0" fillId="0" borderId="0" xfId="0" applyAlignment="1">
      <alignment horizontal="left"/>
    </xf>
    <xf numFmtId="0" fontId="1" fillId="0" borderId="2" xfId="0" applyFont="1" applyBorder="1" applyAlignment="1">
      <alignment horizontal="center" vertical="center"/>
    </xf>
    <xf numFmtId="14" fontId="1" fillId="0" borderId="2" xfId="0" applyNumberFormat="1" applyFont="1" applyBorder="1" applyAlignment="1">
      <alignment horizontal="center" vertical="center"/>
    </xf>
    <xf numFmtId="0" fontId="1" fillId="0" borderId="2" xfId="0" applyFont="1" applyBorder="1" applyAlignment="1">
      <alignment horizontal="center"/>
    </xf>
    <xf numFmtId="0" fontId="1" fillId="0" borderId="2" xfId="0" applyFont="1" applyBorder="1" applyAlignment="1">
      <alignment horizontal="left"/>
    </xf>
    <xf numFmtId="164"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164" fontId="0" fillId="0" borderId="1" xfId="0" applyNumberFormat="1" applyBorder="1"/>
    <xf numFmtId="9" fontId="4" fillId="0" borderId="1" xfId="0" applyNumberFormat="1" applyFont="1" applyBorder="1" applyAlignment="1">
      <alignment horizontal="center"/>
    </xf>
    <xf numFmtId="164" fontId="1" fillId="0" borderId="2" xfId="0" applyNumberFormat="1" applyFont="1" applyBorder="1" applyAlignment="1">
      <alignment horizontal="center"/>
    </xf>
    <xf numFmtId="0" fontId="0" fillId="0" borderId="1" xfId="0" applyNumberFormat="1" applyBorder="1"/>
    <xf numFmtId="0" fontId="0" fillId="2" borderId="1" xfId="0" applyFill="1" applyBorder="1" applyAlignment="1">
      <alignment horizontal="center"/>
    </xf>
    <xf numFmtId="0" fontId="0" fillId="0" borderId="1" xfId="0" applyBorder="1" applyAlignment="1">
      <alignment horizontal="center"/>
    </xf>
    <xf numFmtId="164" fontId="0" fillId="2" borderId="1" xfId="0" applyNumberFormat="1" applyFill="1" applyBorder="1" applyAlignment="1">
      <alignment horizontal="center"/>
    </xf>
    <xf numFmtId="0" fontId="5" fillId="2" borderId="1" xfId="0" applyFont="1" applyFill="1" applyBorder="1" applyAlignment="1">
      <alignment horizontal="center"/>
    </xf>
    <xf numFmtId="164" fontId="0" fillId="0" borderId="1" xfId="0" applyNumberFormat="1" applyFill="1" applyBorder="1"/>
    <xf numFmtId="0" fontId="0" fillId="2" borderId="1" xfId="0" applyFill="1" applyBorder="1"/>
    <xf numFmtId="164" fontId="0" fillId="0" borderId="1" xfId="0" applyNumberFormat="1" applyBorder="1" applyAlignment="1">
      <alignment horizontal="left"/>
    </xf>
    <xf numFmtId="0" fontId="0" fillId="2" borderId="3" xfId="0" applyFill="1" applyBorder="1" applyAlignment="1">
      <alignment horizontal="center"/>
    </xf>
    <xf numFmtId="0" fontId="0" fillId="3" borderId="1" xfId="0" applyFill="1" applyBorder="1" applyAlignment="1">
      <alignment horizontal="left" vertical="top"/>
    </xf>
    <xf numFmtId="0" fontId="0" fillId="0" borderId="3" xfId="0" applyBorder="1" applyAlignment="1">
      <alignment horizontal="center"/>
    </xf>
    <xf numFmtId="0" fontId="0" fillId="0" borderId="1" xfId="0" applyFill="1" applyBorder="1" applyAlignment="1">
      <alignment horizontal="center"/>
    </xf>
  </cellXfs>
  <cellStyles count="1">
    <cellStyle name="Normal" xfId="0" builtinId="0"/>
  </cellStyles>
  <dxfs count="46">
    <dxf>
      <numFmt numFmtId="164" formatCode="&quot;Rp&quot;#,##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indexed="64"/>
        </top>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3CADC"/>
      <color rgb="FFFFFADA"/>
      <color rgb="FFF3C9DC"/>
      <color rgb="FF71557B"/>
      <color rgb="FF3A325C"/>
      <color rgb="FF774500"/>
      <color rgb="FF3F1B5A"/>
      <color rgb="FF4B1635"/>
      <color rgb="FFE6B7CB"/>
      <color rgb="FFE9E1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[BUTIK BELLAMADU DASHBOARD(DipulihkanOtomatis).xlsx]Pivot!PivotTable1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1" i="0" u="none" strike="noStrike" baseline="0">
                <a:effectLst/>
              </a:rPr>
              <a:t>MONTHLY SALES TREND</a:t>
            </a:r>
            <a:endParaRPr lang="id-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strRef>
              <c:f>Pivot!$A$4:$A$10</c:f>
              <c:strCache>
                <c:ptCount val="6"/>
                <c:pt idx="0">
                  <c:v>Jan</c:v>
                </c:pt>
                <c:pt idx="1">
                  <c:v>Feb</c:v>
                </c:pt>
                <c:pt idx="2">
                  <c:v>Mar</c:v>
                </c:pt>
                <c:pt idx="3">
                  <c:v>Apr</c:v>
                </c:pt>
                <c:pt idx="4">
                  <c:v>Mei</c:v>
                </c:pt>
                <c:pt idx="5">
                  <c:v>Jun</c:v>
                </c:pt>
              </c:strCache>
            </c:strRef>
          </c:cat>
          <c:val>
            <c:numRef>
              <c:f>Pivot!$B$4:$B$10</c:f>
              <c:numCache>
                <c:formatCode>"Rp"#,##0</c:formatCode>
                <c:ptCount val="6"/>
                <c:pt idx="0">
                  <c:v>1890000</c:v>
                </c:pt>
                <c:pt idx="1">
                  <c:v>2085000</c:v>
                </c:pt>
                <c:pt idx="2">
                  <c:v>2370000</c:v>
                </c:pt>
                <c:pt idx="3">
                  <c:v>1905000</c:v>
                </c:pt>
                <c:pt idx="4">
                  <c:v>1590000</c:v>
                </c:pt>
                <c:pt idx="5">
                  <c:v>2040000</c:v>
                </c:pt>
              </c:numCache>
            </c:numRef>
          </c:val>
          <c:smooth val="0"/>
          <c:extLst>
            <c:ext xmlns:c16="http://schemas.microsoft.com/office/drawing/2014/chart" uri="{C3380CC4-5D6E-409C-BE32-E72D297353CC}">
              <c16:uniqueId val="{00000000-8AAB-5E43-A9D9-8A10B7109316}"/>
            </c:ext>
          </c:extLst>
        </c:ser>
        <c:dLbls>
          <c:showLegendKey val="0"/>
          <c:showVal val="0"/>
          <c:showCatName val="0"/>
          <c:showSerName val="0"/>
          <c:showPercent val="0"/>
          <c:showBubbleSize val="0"/>
        </c:dLbls>
        <c:smooth val="0"/>
        <c:axId val="640054912"/>
        <c:axId val="639925568"/>
      </c:lineChart>
      <c:catAx>
        <c:axId val="64005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39925568"/>
        <c:crosses val="autoZero"/>
        <c:auto val="1"/>
        <c:lblAlgn val="ctr"/>
        <c:lblOffset val="100"/>
        <c:noMultiLvlLbl val="0"/>
      </c:catAx>
      <c:valAx>
        <c:axId val="639925568"/>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4005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[BUTIK BELLAMADU DASHBOARD(DipulihkanOtomatis).xlsx]Pivot!PivotTable2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0" i="0" u="none" strike="noStrike" baseline="0">
                <a:effectLst/>
              </a:rPr>
              <a:t>BEST SELLING CATEGORY</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Pivot!$E$3</c:f>
              <c:strCache>
                <c:ptCount val="1"/>
                <c:pt idx="0">
                  <c:v>Total</c:v>
                </c:pt>
              </c:strCache>
            </c:strRef>
          </c:tx>
          <c:spPr>
            <a:solidFill>
              <a:schemeClr val="accent1"/>
            </a:solidFill>
            <a:ln>
              <a:noFill/>
            </a:ln>
            <a:effectLst/>
          </c:spPr>
          <c:cat>
            <c:strRef>
              <c:f>Pivot!$D$4:$D$5</c:f>
              <c:strCache>
                <c:ptCount val="1"/>
                <c:pt idx="0">
                  <c:v>Blouse</c:v>
                </c:pt>
              </c:strCache>
            </c:strRef>
          </c:cat>
          <c:val>
            <c:numRef>
              <c:f>Pivot!$E$4:$E$5</c:f>
              <c:numCache>
                <c:formatCode>General</c:formatCode>
                <c:ptCount val="1"/>
                <c:pt idx="0">
                  <c:v>51</c:v>
                </c:pt>
              </c:numCache>
            </c:numRef>
          </c:val>
          <c:extLst>
            <c:ext xmlns:c16="http://schemas.microsoft.com/office/drawing/2014/chart" uri="{C3380CC4-5D6E-409C-BE32-E72D297353CC}">
              <c16:uniqueId val="{00000000-4126-A542-9ACF-EF364C0BC8F3}"/>
            </c:ext>
          </c:extLst>
        </c:ser>
        <c:dLbls>
          <c:showLegendKey val="0"/>
          <c:showVal val="0"/>
          <c:showCatName val="0"/>
          <c:showSerName val="0"/>
          <c:showPercent val="0"/>
          <c:showBubbleSize val="0"/>
        </c:dLbls>
        <c:axId val="1701670576"/>
        <c:axId val="1392892608"/>
      </c:areaChart>
      <c:catAx>
        <c:axId val="170167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92892608"/>
        <c:crosses val="autoZero"/>
        <c:auto val="1"/>
        <c:lblAlgn val="ctr"/>
        <c:lblOffset val="100"/>
        <c:noMultiLvlLbl val="0"/>
      </c:catAx>
      <c:valAx>
        <c:axId val="139289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016705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[BUTIK BELLAMADU DASHBOARD(DipulihkanOtomatis).xlsx]Pivot!PivotTable3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1" i="0" u="none" strike="noStrike" baseline="0">
                <a:effectLst/>
              </a:rPr>
              <a:t>BEST SELLING PRODUCT</a:t>
            </a:r>
            <a:endParaRPr lang="id-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c:f>
              <c:strCache>
                <c:ptCount val="1"/>
                <c:pt idx="0">
                  <c:v>Total</c:v>
                </c:pt>
              </c:strCache>
            </c:strRef>
          </c:tx>
          <c:spPr>
            <a:solidFill>
              <a:schemeClr val="accent1"/>
            </a:solidFill>
            <a:ln>
              <a:noFill/>
            </a:ln>
            <a:effectLst/>
          </c:spPr>
          <c:invertIfNegative val="0"/>
          <c:cat>
            <c:strRef>
              <c:f>Pivot!$G$4:$G$6</c:f>
              <c:strCache>
                <c:ptCount val="2"/>
                <c:pt idx="0">
                  <c:v>Rhea Blouse</c:v>
                </c:pt>
                <c:pt idx="1">
                  <c:v>Hana Blouse</c:v>
                </c:pt>
              </c:strCache>
            </c:strRef>
          </c:cat>
          <c:val>
            <c:numRef>
              <c:f>Pivot!$H$4:$H$6</c:f>
              <c:numCache>
                <c:formatCode>General</c:formatCode>
                <c:ptCount val="2"/>
                <c:pt idx="0">
                  <c:v>27</c:v>
                </c:pt>
                <c:pt idx="1">
                  <c:v>24</c:v>
                </c:pt>
              </c:numCache>
            </c:numRef>
          </c:val>
          <c:extLst>
            <c:ext xmlns:c16="http://schemas.microsoft.com/office/drawing/2014/chart" uri="{C3380CC4-5D6E-409C-BE32-E72D297353CC}">
              <c16:uniqueId val="{00000000-E28E-9A4B-B0E9-4083DAAA7023}"/>
            </c:ext>
          </c:extLst>
        </c:ser>
        <c:dLbls>
          <c:showLegendKey val="0"/>
          <c:showVal val="0"/>
          <c:showCatName val="0"/>
          <c:showSerName val="0"/>
          <c:showPercent val="0"/>
          <c:showBubbleSize val="0"/>
        </c:dLbls>
        <c:gapWidth val="182"/>
        <c:axId val="640233616"/>
        <c:axId val="1393809888"/>
      </c:barChart>
      <c:catAx>
        <c:axId val="640233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93809888"/>
        <c:crosses val="autoZero"/>
        <c:auto val="1"/>
        <c:lblAlgn val="ctr"/>
        <c:lblOffset val="100"/>
        <c:noMultiLvlLbl val="0"/>
      </c:catAx>
      <c:valAx>
        <c:axId val="1393809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4023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[BUTIK BELLAMADU DASHBOARD(DipulihkanOtomatis).xlsx]Pivot!PivotTable5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Pivot!$P$3</c:f>
              <c:strCache>
                <c:ptCount val="1"/>
                <c:pt idx="0">
                  <c:v>Total</c:v>
                </c:pt>
              </c:strCache>
            </c:strRef>
          </c:tx>
          <c:spPr>
            <a:solidFill>
              <a:schemeClr val="accent1"/>
            </a:solidFill>
            <a:ln>
              <a:noFill/>
            </a:ln>
            <a:effectLst/>
          </c:spPr>
          <c:invertIfNegative val="0"/>
          <c:cat>
            <c:strRef>
              <c:f>Pivot!$O$4:$O$7</c:f>
              <c:strCache>
                <c:ptCount val="3"/>
                <c:pt idx="0">
                  <c:v>M</c:v>
                </c:pt>
                <c:pt idx="1">
                  <c:v>XL</c:v>
                </c:pt>
                <c:pt idx="2">
                  <c:v>S</c:v>
                </c:pt>
              </c:strCache>
            </c:strRef>
          </c:cat>
          <c:val>
            <c:numRef>
              <c:f>Pivot!$P$4:$P$7</c:f>
              <c:numCache>
                <c:formatCode>General</c:formatCode>
                <c:ptCount val="3"/>
                <c:pt idx="0">
                  <c:v>23</c:v>
                </c:pt>
                <c:pt idx="1">
                  <c:v>18</c:v>
                </c:pt>
                <c:pt idx="2">
                  <c:v>10</c:v>
                </c:pt>
              </c:numCache>
            </c:numRef>
          </c:val>
          <c:extLst>
            <c:ext xmlns:c16="http://schemas.microsoft.com/office/drawing/2014/chart" uri="{C3380CC4-5D6E-409C-BE32-E72D297353CC}">
              <c16:uniqueId val="{00000000-05A1-8749-94CD-3D6CEE1FE127}"/>
            </c:ext>
          </c:extLst>
        </c:ser>
        <c:dLbls>
          <c:showLegendKey val="0"/>
          <c:showVal val="0"/>
          <c:showCatName val="0"/>
          <c:showSerName val="0"/>
          <c:showPercent val="0"/>
          <c:showBubbleSize val="0"/>
        </c:dLbls>
        <c:gapWidth val="219"/>
        <c:overlap val="-27"/>
        <c:axId val="338280016"/>
        <c:axId val="1808875744"/>
      </c:barChart>
      <c:catAx>
        <c:axId val="33828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808875744"/>
        <c:crosses val="autoZero"/>
        <c:auto val="1"/>
        <c:lblAlgn val="ctr"/>
        <c:lblOffset val="100"/>
        <c:noMultiLvlLbl val="0"/>
      </c:catAx>
      <c:valAx>
        <c:axId val="180887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33828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[BUTIK BELLAMADU DASHBOARD(DipulihkanOtomatis).xlsx]Pivot!PivotTable4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b="1"/>
              <a:t>SALES</a:t>
            </a:r>
            <a:r>
              <a:rPr lang="id-ID" b="1" baseline="0"/>
              <a:t> BY COLOR</a:t>
            </a:r>
            <a:endParaRPr lang="id-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B4-2F4D-8178-7170F83EAF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B4-2F4D-8178-7170F83EAF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B4-2F4D-8178-7170F83EAF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B4-2F4D-8178-7170F83EAF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B4-2F4D-8178-7170F83EAF8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5B4-2F4D-8178-7170F83EAF8F}"/>
              </c:ext>
            </c:extLst>
          </c:dPt>
          <c:cat>
            <c:strRef>
              <c:f>Pivot!$L$4:$L$10</c:f>
              <c:strCache>
                <c:ptCount val="6"/>
                <c:pt idx="0">
                  <c:v>Navy</c:v>
                </c:pt>
                <c:pt idx="1">
                  <c:v>Sage</c:v>
                </c:pt>
                <c:pt idx="2">
                  <c:v>Cream</c:v>
                </c:pt>
                <c:pt idx="3">
                  <c:v>Mocca</c:v>
                </c:pt>
                <c:pt idx="4">
                  <c:v>Black</c:v>
                </c:pt>
                <c:pt idx="5">
                  <c:v>Maroon</c:v>
                </c:pt>
              </c:strCache>
            </c:strRef>
          </c:cat>
          <c:val>
            <c:numRef>
              <c:f>Pivot!$M$4:$M$10</c:f>
              <c:numCache>
                <c:formatCode>General</c:formatCode>
                <c:ptCount val="6"/>
                <c:pt idx="0">
                  <c:v>12</c:v>
                </c:pt>
                <c:pt idx="1">
                  <c:v>12</c:v>
                </c:pt>
                <c:pt idx="2">
                  <c:v>10</c:v>
                </c:pt>
                <c:pt idx="3">
                  <c:v>6</c:v>
                </c:pt>
                <c:pt idx="4">
                  <c:v>6</c:v>
                </c:pt>
                <c:pt idx="5">
                  <c:v>5</c:v>
                </c:pt>
              </c:numCache>
            </c:numRef>
          </c:val>
          <c:extLst>
            <c:ext xmlns:c16="http://schemas.microsoft.com/office/drawing/2014/chart" uri="{C3380CC4-5D6E-409C-BE32-E72D297353CC}">
              <c16:uniqueId val="{00000000-38C6-6143-A8A4-2B01006A5E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[BUTIK BELLAMADU DASHBOARD(DipulihkanOtomatis).xlsx]Pivot!PivotTable1</c:name>
    <c:fmtId val="5"/>
  </c:pivotSource>
  <c:chart>
    <c:title>
      <c:tx>
        <c:rich>
          <a:bodyPr rot="0" spcFirstLastPara="1" vertOverflow="ellipsis" vert="horz" wrap="square" anchor="ctr" anchorCtr="1"/>
          <a:lstStyle/>
          <a:p>
            <a:pPr>
              <a:defRPr sz="2400" b="0" i="0" u="none" strike="noStrike" kern="1200" spc="0" baseline="0">
                <a:solidFill>
                  <a:srgbClr val="FFFADA"/>
                </a:solidFill>
                <a:latin typeface="+mn-lt"/>
                <a:ea typeface="+mn-ea"/>
                <a:cs typeface="+mn-cs"/>
              </a:defRPr>
            </a:pPr>
            <a:r>
              <a:rPr lang="id-ID" sz="2400" b="1" i="0" u="none" strike="noStrike" baseline="0">
                <a:effectLst/>
              </a:rPr>
              <a:t>SALES TREND (MONTHLY)</a:t>
            </a:r>
            <a:endParaRPr lang="id-ID" sz="2400" b="1"/>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FFFADA"/>
              </a:solidFill>
              <a:latin typeface="+mn-lt"/>
              <a:ea typeface="+mn-ea"/>
              <a:cs typeface="+mn-cs"/>
            </a:defRPr>
          </a:pPr>
          <a:endParaRPr lang="id-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AD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ADA"/>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rgbClr val="FFFADA"/>
              </a:solidFill>
              <a:round/>
            </a:ln>
            <a:effectLst/>
          </c:spPr>
          <c:marker>
            <c:symbol val="none"/>
          </c:marker>
          <c:cat>
            <c:strRef>
              <c:f>Pivot!$A$4:$A$10</c:f>
              <c:strCache>
                <c:ptCount val="6"/>
                <c:pt idx="0">
                  <c:v>Jan</c:v>
                </c:pt>
                <c:pt idx="1">
                  <c:v>Feb</c:v>
                </c:pt>
                <c:pt idx="2">
                  <c:v>Mar</c:v>
                </c:pt>
                <c:pt idx="3">
                  <c:v>Apr</c:v>
                </c:pt>
                <c:pt idx="4">
                  <c:v>Mei</c:v>
                </c:pt>
                <c:pt idx="5">
                  <c:v>Jun</c:v>
                </c:pt>
              </c:strCache>
            </c:strRef>
          </c:cat>
          <c:val>
            <c:numRef>
              <c:f>Pivot!$B$4:$B$10</c:f>
              <c:numCache>
                <c:formatCode>"Rp"#,##0</c:formatCode>
                <c:ptCount val="6"/>
                <c:pt idx="0">
                  <c:v>1890000</c:v>
                </c:pt>
                <c:pt idx="1">
                  <c:v>2085000</c:v>
                </c:pt>
                <c:pt idx="2">
                  <c:v>2370000</c:v>
                </c:pt>
                <c:pt idx="3">
                  <c:v>1905000</c:v>
                </c:pt>
                <c:pt idx="4">
                  <c:v>1590000</c:v>
                </c:pt>
                <c:pt idx="5">
                  <c:v>2040000</c:v>
                </c:pt>
              </c:numCache>
            </c:numRef>
          </c:val>
          <c:smooth val="0"/>
          <c:extLst>
            <c:ext xmlns:c16="http://schemas.microsoft.com/office/drawing/2014/chart" uri="{C3380CC4-5D6E-409C-BE32-E72D297353CC}">
              <c16:uniqueId val="{00000000-F107-964B-96D0-8FEBAD2EE582}"/>
            </c:ext>
          </c:extLst>
        </c:ser>
        <c:dLbls>
          <c:showLegendKey val="0"/>
          <c:showVal val="0"/>
          <c:showCatName val="0"/>
          <c:showSerName val="0"/>
          <c:showPercent val="0"/>
          <c:showBubbleSize val="0"/>
        </c:dLbls>
        <c:smooth val="0"/>
        <c:axId val="640054912"/>
        <c:axId val="639925568"/>
      </c:lineChart>
      <c:catAx>
        <c:axId val="64005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ADA"/>
                </a:solidFill>
                <a:latin typeface="+mn-lt"/>
                <a:ea typeface="+mn-ea"/>
                <a:cs typeface="+mn-cs"/>
              </a:defRPr>
            </a:pPr>
            <a:endParaRPr lang="id-ID"/>
          </a:p>
        </c:txPr>
        <c:crossAx val="639925568"/>
        <c:crosses val="autoZero"/>
        <c:auto val="1"/>
        <c:lblAlgn val="ctr"/>
        <c:lblOffset val="100"/>
        <c:noMultiLvlLbl val="0"/>
      </c:catAx>
      <c:valAx>
        <c:axId val="639925568"/>
        <c:scaling>
          <c:orientation val="minMax"/>
        </c:scaling>
        <c:delete val="0"/>
        <c:axPos val="l"/>
        <c:majorGridlines>
          <c:spPr>
            <a:ln w="9525" cap="flat" cmpd="sng" algn="ctr">
              <a:solidFill>
                <a:srgbClr val="FFFADA"/>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ADA"/>
                </a:solidFill>
                <a:latin typeface="+mn-lt"/>
                <a:ea typeface="+mn-ea"/>
                <a:cs typeface="+mn-cs"/>
              </a:defRPr>
            </a:pPr>
            <a:endParaRPr lang="id-ID"/>
          </a:p>
        </c:txPr>
        <c:crossAx val="64005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ADA"/>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A325C"/>
    </a:solidFill>
    <a:ln w="9525" cap="flat" cmpd="sng" algn="ctr">
      <a:solidFill>
        <a:srgbClr val="3A325C"/>
      </a:solidFill>
      <a:round/>
    </a:ln>
    <a:effectLst/>
  </c:spPr>
  <c:txPr>
    <a:bodyPr/>
    <a:lstStyle/>
    <a:p>
      <a:pPr>
        <a:defRPr>
          <a:solidFill>
            <a:srgbClr val="FFFADA"/>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[BUTIK BELLAMADU DASHBOARD(DipulihkanOtomatis).xlsx]Pivot!PivotTable2</c:name>
    <c:fmtId val="12"/>
  </c:pivotSource>
  <c:chart>
    <c:title>
      <c:tx>
        <c:rich>
          <a:bodyPr rot="0" spcFirstLastPara="1" vertOverflow="ellipsis" vert="horz" wrap="square" anchor="ctr" anchorCtr="1"/>
          <a:lstStyle/>
          <a:p>
            <a:pPr>
              <a:defRPr sz="1400" b="0" i="0" u="none" strike="noStrike" kern="1200" spc="0" baseline="0">
                <a:solidFill>
                  <a:srgbClr val="FFFADA"/>
                </a:solidFill>
                <a:latin typeface="+mn-lt"/>
                <a:ea typeface="+mn-ea"/>
                <a:cs typeface="+mn-cs"/>
              </a:defRPr>
            </a:pPr>
            <a:r>
              <a:rPr lang="id-ID" sz="2400" b="1">
                <a:solidFill>
                  <a:srgbClr val="FFFADA"/>
                </a:solidFill>
              </a:rPr>
              <a:t>BEST SELLING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ADA"/>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A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1557B"/>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c:f>
              <c:strCache>
                <c:ptCount val="1"/>
                <c:pt idx="0">
                  <c:v>Total</c:v>
                </c:pt>
              </c:strCache>
            </c:strRef>
          </c:tx>
          <c:spPr>
            <a:solidFill>
              <a:srgbClr val="FFFADA"/>
            </a:solidFill>
            <a:ln>
              <a:noFill/>
            </a:ln>
            <a:effectLst/>
          </c:spPr>
          <c:invertIfNegative val="0"/>
          <c:cat>
            <c:strRef>
              <c:f>Pivot!$D$4:$D$5</c:f>
              <c:strCache>
                <c:ptCount val="1"/>
                <c:pt idx="0">
                  <c:v>Blouse</c:v>
                </c:pt>
              </c:strCache>
            </c:strRef>
          </c:cat>
          <c:val>
            <c:numRef>
              <c:f>Pivot!$E$4:$E$5</c:f>
              <c:numCache>
                <c:formatCode>General</c:formatCode>
                <c:ptCount val="1"/>
                <c:pt idx="0">
                  <c:v>51</c:v>
                </c:pt>
              </c:numCache>
            </c:numRef>
          </c:val>
          <c:extLst>
            <c:ext xmlns:c16="http://schemas.microsoft.com/office/drawing/2014/chart" uri="{C3380CC4-5D6E-409C-BE32-E72D297353CC}">
              <c16:uniqueId val="{00000000-E48F-D645-A161-AA71CCE12006}"/>
            </c:ext>
          </c:extLst>
        </c:ser>
        <c:dLbls>
          <c:showLegendKey val="0"/>
          <c:showVal val="0"/>
          <c:showCatName val="0"/>
          <c:showSerName val="0"/>
          <c:showPercent val="0"/>
          <c:showBubbleSize val="0"/>
        </c:dLbls>
        <c:gapWidth val="150"/>
        <c:axId val="1701670576"/>
        <c:axId val="1392892608"/>
      </c:barChart>
      <c:catAx>
        <c:axId val="170167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FFFADA"/>
                </a:solidFill>
                <a:latin typeface="+mn-lt"/>
                <a:ea typeface="+mn-ea"/>
                <a:cs typeface="+mn-cs"/>
              </a:defRPr>
            </a:pPr>
            <a:endParaRPr lang="id-ID"/>
          </a:p>
        </c:txPr>
        <c:crossAx val="1392892608"/>
        <c:crosses val="autoZero"/>
        <c:auto val="1"/>
        <c:lblAlgn val="ctr"/>
        <c:lblOffset val="100"/>
        <c:noMultiLvlLbl val="0"/>
      </c:catAx>
      <c:valAx>
        <c:axId val="1392892608"/>
        <c:scaling>
          <c:orientation val="minMax"/>
        </c:scaling>
        <c:delete val="0"/>
        <c:axPos val="l"/>
        <c:majorGridlines>
          <c:spPr>
            <a:ln w="9525" cap="flat" cmpd="sng" algn="ctr">
              <a:solidFill>
                <a:srgbClr val="FFFADA"/>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FFFADA"/>
                </a:solidFill>
                <a:latin typeface="+mn-lt"/>
                <a:ea typeface="+mn-ea"/>
                <a:cs typeface="+mn-cs"/>
              </a:defRPr>
            </a:pPr>
            <a:endParaRPr lang="id-ID"/>
          </a:p>
        </c:txPr>
        <c:crossAx val="1701670576"/>
        <c:crosses val="autoZero"/>
        <c:crossBetween val="between"/>
      </c:valAx>
      <c:spPr>
        <a:solidFill>
          <a:srgbClr val="71557B"/>
        </a:solid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rgbClr val="FFFADA"/>
              </a:solidFill>
              <a:latin typeface="+mn-lt"/>
              <a:ea typeface="+mn-ea"/>
              <a:cs typeface="+mn-cs"/>
            </a:defRPr>
          </a:pPr>
          <a:endParaRPr lang="id-ID"/>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71557B"/>
    </a:solidFill>
    <a:ln w="9525" cap="flat" cmpd="sng" algn="ctr">
      <a:noFill/>
      <a:round/>
    </a:ln>
    <a:effectLst/>
  </c:spPr>
  <c:txPr>
    <a:bodyPr/>
    <a:lstStyle/>
    <a:p>
      <a:pPr>
        <a:defRPr>
          <a:solidFill>
            <a:srgbClr val="71557B"/>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[BUTIK BELLAMADU DASHBOARD(DipulihkanOtomatis).xlsx]Pivot!PivotTable3</c:name>
    <c:fmtId val="17"/>
  </c:pivotSource>
  <c:chart>
    <c:title>
      <c:tx>
        <c:rich>
          <a:bodyPr rot="0" spcFirstLastPara="1" vertOverflow="ellipsis" vert="horz" wrap="square" anchor="ctr" anchorCtr="1"/>
          <a:lstStyle/>
          <a:p>
            <a:pPr>
              <a:defRPr sz="1920" b="0" i="0" u="none" strike="noStrike" kern="1200" spc="0" baseline="0">
                <a:solidFill>
                  <a:srgbClr val="FFFADA"/>
                </a:solidFill>
                <a:latin typeface="+mn-lt"/>
                <a:ea typeface="+mn-ea"/>
                <a:cs typeface="+mn-cs"/>
              </a:defRPr>
            </a:pPr>
            <a:r>
              <a:rPr lang="id-ID" sz="2800" b="1"/>
              <a:t>BEST SELLING PRODUCT</a:t>
            </a:r>
          </a:p>
        </c:rich>
      </c:tx>
      <c:overlay val="0"/>
      <c:spPr>
        <a:noFill/>
        <a:ln>
          <a:noFill/>
        </a:ln>
        <a:effectLst/>
      </c:spPr>
      <c:txPr>
        <a:bodyPr rot="0" spcFirstLastPara="1" vertOverflow="ellipsis" vert="horz" wrap="square" anchor="ctr" anchorCtr="1"/>
        <a:lstStyle/>
        <a:p>
          <a:pPr>
            <a:defRPr sz="1920" b="0" i="0" u="none" strike="noStrike" kern="1200" spc="0" baseline="0">
              <a:solidFill>
                <a:srgbClr val="FFFADA"/>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A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FFFADA"/>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c:f>
              <c:strCache>
                <c:ptCount val="1"/>
                <c:pt idx="0">
                  <c:v>Total</c:v>
                </c:pt>
              </c:strCache>
            </c:strRef>
          </c:tx>
          <c:spPr>
            <a:solidFill>
              <a:srgbClr val="FFFADA"/>
            </a:solidFill>
            <a:ln>
              <a:noFill/>
            </a:ln>
            <a:effectLst/>
          </c:spPr>
          <c:invertIfNegative val="0"/>
          <c:cat>
            <c:strRef>
              <c:f>Pivot!$G$4:$G$6</c:f>
              <c:strCache>
                <c:ptCount val="2"/>
                <c:pt idx="0">
                  <c:v>Rhea Blouse</c:v>
                </c:pt>
                <c:pt idx="1">
                  <c:v>Hana Blouse</c:v>
                </c:pt>
              </c:strCache>
            </c:strRef>
          </c:cat>
          <c:val>
            <c:numRef>
              <c:f>Pivot!$H$4:$H$6</c:f>
              <c:numCache>
                <c:formatCode>General</c:formatCode>
                <c:ptCount val="2"/>
                <c:pt idx="0">
                  <c:v>27</c:v>
                </c:pt>
                <c:pt idx="1">
                  <c:v>24</c:v>
                </c:pt>
              </c:numCache>
            </c:numRef>
          </c:val>
          <c:extLst>
            <c:ext xmlns:c16="http://schemas.microsoft.com/office/drawing/2014/chart" uri="{C3380CC4-5D6E-409C-BE32-E72D297353CC}">
              <c16:uniqueId val="{00000000-C72A-A94A-A71D-DED8BED26BB0}"/>
            </c:ext>
          </c:extLst>
        </c:ser>
        <c:dLbls>
          <c:showLegendKey val="0"/>
          <c:showVal val="0"/>
          <c:showCatName val="0"/>
          <c:showSerName val="0"/>
          <c:showPercent val="0"/>
          <c:showBubbleSize val="0"/>
        </c:dLbls>
        <c:gapWidth val="182"/>
        <c:axId val="640233616"/>
        <c:axId val="1393809888"/>
      </c:barChart>
      <c:catAx>
        <c:axId val="640233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FFFADA"/>
                </a:solidFill>
                <a:latin typeface="+mn-lt"/>
                <a:ea typeface="+mn-ea"/>
                <a:cs typeface="+mn-cs"/>
              </a:defRPr>
            </a:pPr>
            <a:endParaRPr lang="id-ID"/>
          </a:p>
        </c:txPr>
        <c:crossAx val="1393809888"/>
        <c:crosses val="autoZero"/>
        <c:auto val="1"/>
        <c:lblAlgn val="ctr"/>
        <c:lblOffset val="100"/>
        <c:noMultiLvlLbl val="0"/>
      </c:catAx>
      <c:valAx>
        <c:axId val="1393809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rgbClr val="FFFADA"/>
                </a:solidFill>
                <a:latin typeface="+mn-lt"/>
                <a:ea typeface="+mn-ea"/>
                <a:cs typeface="+mn-cs"/>
              </a:defRPr>
            </a:pPr>
            <a:endParaRPr lang="id-ID"/>
          </a:p>
        </c:txPr>
        <c:crossAx val="64023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rgbClr val="FFFADA"/>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1557B"/>
    </a:solidFill>
    <a:ln w="9525" cap="flat" cmpd="sng" algn="ctr">
      <a:solidFill>
        <a:schemeClr val="tx1">
          <a:lumMod val="15000"/>
          <a:lumOff val="85000"/>
        </a:schemeClr>
      </a:solidFill>
      <a:round/>
    </a:ln>
    <a:effectLst/>
  </c:spPr>
  <c:txPr>
    <a:bodyPr/>
    <a:lstStyle/>
    <a:p>
      <a:pPr>
        <a:defRPr sz="1600">
          <a:solidFill>
            <a:srgbClr val="FFFADA"/>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[BUTIK BELLAMADU DASHBOARD(DipulihkanOtomatis).xlsx]Pivot!PivotTable4</c:name>
    <c:fmtId val="19"/>
  </c:pivotSource>
  <c:chart>
    <c:title>
      <c:tx>
        <c:rich>
          <a:bodyPr rot="0" spcFirstLastPara="1" vertOverflow="ellipsis" vert="horz" wrap="square" anchor="ctr" anchorCtr="1"/>
          <a:lstStyle/>
          <a:p>
            <a:pPr>
              <a:defRPr sz="1400" b="0" i="0" u="none" strike="noStrike" kern="1200" spc="0" baseline="0">
                <a:solidFill>
                  <a:srgbClr val="FFFADA"/>
                </a:solidFill>
                <a:latin typeface="+mn-lt"/>
                <a:ea typeface="+mn-ea"/>
                <a:cs typeface="+mn-cs"/>
              </a:defRPr>
            </a:pPr>
            <a:r>
              <a:rPr lang="id-ID" sz="2400" b="1">
                <a:solidFill>
                  <a:srgbClr val="FFFADA"/>
                </a:solidFill>
              </a:rPr>
              <a:t>SALES</a:t>
            </a:r>
            <a:r>
              <a:rPr lang="id-ID" sz="2400" b="1" baseline="0">
                <a:solidFill>
                  <a:srgbClr val="FFFADA"/>
                </a:solidFill>
              </a:rPr>
              <a:t> BY COLOR</a:t>
            </a:r>
            <a:endParaRPr lang="id-ID" sz="2400" b="1">
              <a:solidFill>
                <a:srgbClr val="FFFAD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ADA"/>
              </a:solidFill>
              <a:latin typeface="+mn-lt"/>
              <a:ea typeface="+mn-ea"/>
              <a:cs typeface="+mn-cs"/>
            </a:defRPr>
          </a:pPr>
          <a:endParaRPr lang="id-ID"/>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FADA"/>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
        <c:idx val="17"/>
        <c:spPr>
          <a:solidFill>
            <a:schemeClr val="accent6">
              <a:lumMod val="60000"/>
              <a:lumOff val="40000"/>
            </a:schemeClr>
          </a:solidFill>
          <a:ln w="19050">
            <a:solidFill>
              <a:schemeClr val="lt1"/>
            </a:solidFill>
          </a:ln>
          <a:effectLst/>
        </c:spPr>
      </c:pivotFmt>
      <c:pivotFmt>
        <c:idx val="18"/>
        <c:spPr>
          <a:solidFill>
            <a:schemeClr val="tx1">
              <a:lumMod val="75000"/>
              <a:lumOff val="25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rgbClr val="774500"/>
          </a:solidFill>
          <a:ln w="19050">
            <a:solidFill>
              <a:schemeClr val="lt1"/>
            </a:solidFill>
          </a:ln>
          <a:effectLst/>
        </c:spPr>
      </c:pivotFmt>
    </c:pivotFmts>
    <c:plotArea>
      <c:layout>
        <c:manualLayout>
          <c:layoutTarget val="inner"/>
          <c:xMode val="edge"/>
          <c:yMode val="edge"/>
          <c:x val="9.9229932009352054E-2"/>
          <c:y val="0.19479518953573427"/>
          <c:w val="0.45342143452204986"/>
          <c:h val="0.72596983778667001"/>
        </c:manualLayout>
      </c:layout>
      <c:doughnutChart>
        <c:varyColors val="1"/>
        <c:ser>
          <c:idx val="0"/>
          <c:order val="0"/>
          <c:tx>
            <c:strRef>
              <c:f>Pivot!$M$3</c:f>
              <c:strCache>
                <c:ptCount val="1"/>
                <c:pt idx="0">
                  <c:v>Total</c:v>
                </c:pt>
              </c:strCache>
            </c:strRef>
          </c:tx>
          <c:explosion val="4"/>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C906-8947-848C-FC46C27D08C8}"/>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C906-8947-848C-FC46C27D08C8}"/>
              </c:ext>
            </c:extLst>
          </c:dPt>
          <c:dPt>
            <c:idx val="2"/>
            <c:bubble3D val="0"/>
            <c:spPr>
              <a:solidFill>
                <a:srgbClr val="FFFADA"/>
              </a:solidFill>
              <a:ln w="19050">
                <a:solidFill>
                  <a:schemeClr val="lt1"/>
                </a:solidFill>
              </a:ln>
              <a:effectLst/>
            </c:spPr>
            <c:extLst>
              <c:ext xmlns:c16="http://schemas.microsoft.com/office/drawing/2014/chart" uri="{C3380CC4-5D6E-409C-BE32-E72D297353CC}">
                <c16:uniqueId val="{00000005-C906-8947-848C-FC46C27D08C8}"/>
              </c:ext>
            </c:extLst>
          </c:dPt>
          <c:dPt>
            <c:idx val="3"/>
            <c:bubble3D val="0"/>
            <c:spPr>
              <a:solidFill>
                <a:srgbClr val="774500"/>
              </a:solidFill>
              <a:ln w="19050">
                <a:solidFill>
                  <a:schemeClr val="lt1"/>
                </a:solidFill>
              </a:ln>
              <a:effectLst/>
            </c:spPr>
            <c:extLst>
              <c:ext xmlns:c16="http://schemas.microsoft.com/office/drawing/2014/chart" uri="{C3380CC4-5D6E-409C-BE32-E72D297353CC}">
                <c16:uniqueId val="{00000007-C906-8947-848C-FC46C27D08C8}"/>
              </c:ext>
            </c:extLst>
          </c:dPt>
          <c:dPt>
            <c:idx val="4"/>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9-C906-8947-848C-FC46C27D08C8}"/>
              </c:ext>
            </c:extLst>
          </c:dPt>
          <c:dPt>
            <c:idx val="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B-C906-8947-848C-FC46C27D08C8}"/>
              </c:ext>
            </c:extLst>
          </c:dPt>
          <c:cat>
            <c:strRef>
              <c:f>Pivot!$L$4:$L$10</c:f>
              <c:strCache>
                <c:ptCount val="6"/>
                <c:pt idx="0">
                  <c:v>Navy</c:v>
                </c:pt>
                <c:pt idx="1">
                  <c:v>Sage</c:v>
                </c:pt>
                <c:pt idx="2">
                  <c:v>Cream</c:v>
                </c:pt>
                <c:pt idx="3">
                  <c:v>Mocca</c:v>
                </c:pt>
                <c:pt idx="4">
                  <c:v>Black</c:v>
                </c:pt>
                <c:pt idx="5">
                  <c:v>Maroon</c:v>
                </c:pt>
              </c:strCache>
            </c:strRef>
          </c:cat>
          <c:val>
            <c:numRef>
              <c:f>Pivot!$M$4:$M$10</c:f>
              <c:numCache>
                <c:formatCode>General</c:formatCode>
                <c:ptCount val="6"/>
                <c:pt idx="0">
                  <c:v>12</c:v>
                </c:pt>
                <c:pt idx="1">
                  <c:v>12</c:v>
                </c:pt>
                <c:pt idx="2">
                  <c:v>10</c:v>
                </c:pt>
                <c:pt idx="3">
                  <c:v>6</c:v>
                </c:pt>
                <c:pt idx="4">
                  <c:v>6</c:v>
                </c:pt>
                <c:pt idx="5">
                  <c:v>5</c:v>
                </c:pt>
              </c:numCache>
            </c:numRef>
          </c:val>
          <c:extLst>
            <c:ext xmlns:c16="http://schemas.microsoft.com/office/drawing/2014/chart" uri="{C3380CC4-5D6E-409C-BE32-E72D297353CC}">
              <c16:uniqueId val="{0000000C-C906-8947-848C-FC46C27D08C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15741313052591"/>
          <c:y val="0.29100253861709907"/>
          <c:w val="0.14675351374593534"/>
          <c:h val="0.45705240738350328"/>
        </c:manualLayout>
      </c:layout>
      <c:overlay val="0"/>
      <c:spPr>
        <a:noFill/>
        <a:ln>
          <a:noFill/>
        </a:ln>
        <a:effectLst/>
      </c:spPr>
      <c:txPr>
        <a:bodyPr rot="0" spcFirstLastPara="1" vertOverflow="ellipsis" vert="horz" wrap="square" anchor="ctr" anchorCtr="1"/>
        <a:lstStyle/>
        <a:p>
          <a:pPr>
            <a:defRPr sz="1800" b="0" i="0" u="none" strike="noStrike" kern="1200" baseline="0">
              <a:solidFill>
                <a:srgbClr val="FFFADA"/>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1557B"/>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[BUTIK BELLAMADU DASHBOARD(DipulihkanOtomatis).xlsx]Pivot!PivotTable5</c:name>
    <c:fmtId val="19"/>
  </c:pivotSource>
  <c:chart>
    <c:title>
      <c:tx>
        <c:rich>
          <a:bodyPr rot="0" spcFirstLastPara="1" vertOverflow="ellipsis" vert="horz" wrap="square" anchor="ctr" anchorCtr="1"/>
          <a:lstStyle/>
          <a:p>
            <a:pPr>
              <a:defRPr sz="1400" b="0" i="0" u="none" strike="noStrike" kern="1200" spc="0" baseline="0">
                <a:solidFill>
                  <a:srgbClr val="FFFADA"/>
                </a:solidFill>
                <a:latin typeface="+mn-lt"/>
                <a:ea typeface="+mn-ea"/>
                <a:cs typeface="+mn-cs"/>
              </a:defRPr>
            </a:pPr>
            <a:r>
              <a:rPr lang="en-US" sz="2400" b="1">
                <a:solidFill>
                  <a:srgbClr val="FFFADA"/>
                </a:solidFill>
              </a:rPr>
              <a:t>SALES BY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ADA"/>
              </a:solidFill>
              <a:latin typeface="+mn-lt"/>
              <a:ea typeface="+mn-ea"/>
              <a:cs typeface="+mn-cs"/>
            </a:defRPr>
          </a:pPr>
          <a:endParaRPr lang="id-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A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Pivot!$P$3</c:f>
              <c:strCache>
                <c:ptCount val="1"/>
                <c:pt idx="0">
                  <c:v>Total</c:v>
                </c:pt>
              </c:strCache>
            </c:strRef>
          </c:tx>
          <c:spPr>
            <a:solidFill>
              <a:srgbClr val="FFFADA"/>
            </a:solidFill>
            <a:ln>
              <a:noFill/>
            </a:ln>
            <a:effectLst/>
          </c:spPr>
          <c:invertIfNegative val="0"/>
          <c:cat>
            <c:strRef>
              <c:f>Pivot!$O$4:$O$7</c:f>
              <c:strCache>
                <c:ptCount val="3"/>
                <c:pt idx="0">
                  <c:v>M</c:v>
                </c:pt>
                <c:pt idx="1">
                  <c:v>XL</c:v>
                </c:pt>
                <c:pt idx="2">
                  <c:v>S</c:v>
                </c:pt>
              </c:strCache>
            </c:strRef>
          </c:cat>
          <c:val>
            <c:numRef>
              <c:f>Pivot!$P$4:$P$7</c:f>
              <c:numCache>
                <c:formatCode>General</c:formatCode>
                <c:ptCount val="3"/>
                <c:pt idx="0">
                  <c:v>23</c:v>
                </c:pt>
                <c:pt idx="1">
                  <c:v>18</c:v>
                </c:pt>
                <c:pt idx="2">
                  <c:v>10</c:v>
                </c:pt>
              </c:numCache>
            </c:numRef>
          </c:val>
          <c:extLst>
            <c:ext xmlns:c16="http://schemas.microsoft.com/office/drawing/2014/chart" uri="{C3380CC4-5D6E-409C-BE32-E72D297353CC}">
              <c16:uniqueId val="{00000000-D6CD-6741-B553-9808467D9EC1}"/>
            </c:ext>
          </c:extLst>
        </c:ser>
        <c:dLbls>
          <c:showLegendKey val="0"/>
          <c:showVal val="0"/>
          <c:showCatName val="0"/>
          <c:showSerName val="0"/>
          <c:showPercent val="0"/>
          <c:showBubbleSize val="0"/>
        </c:dLbls>
        <c:gapWidth val="219"/>
        <c:overlap val="-27"/>
        <c:axId val="338280016"/>
        <c:axId val="1808875744"/>
      </c:barChart>
      <c:catAx>
        <c:axId val="33828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rgbClr val="FFFADA"/>
                </a:solidFill>
                <a:latin typeface="+mn-lt"/>
                <a:ea typeface="+mn-ea"/>
                <a:cs typeface="+mn-cs"/>
              </a:defRPr>
            </a:pPr>
            <a:endParaRPr lang="id-ID"/>
          </a:p>
        </c:txPr>
        <c:crossAx val="1808875744"/>
        <c:crosses val="autoZero"/>
        <c:auto val="1"/>
        <c:lblAlgn val="ctr"/>
        <c:lblOffset val="100"/>
        <c:noMultiLvlLbl val="0"/>
      </c:catAx>
      <c:valAx>
        <c:axId val="180887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rgbClr val="FFFADA"/>
                </a:solidFill>
                <a:latin typeface="+mn-lt"/>
                <a:ea typeface="+mn-ea"/>
                <a:cs typeface="+mn-cs"/>
              </a:defRPr>
            </a:pPr>
            <a:endParaRPr lang="id-ID"/>
          </a:p>
        </c:txPr>
        <c:crossAx val="33828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rgbClr val="FFFADA"/>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A325C"/>
    </a:solid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rgbClr val="FFFADA"/>
                </a:solidFill>
                <a:latin typeface="+mn-lt"/>
                <a:ea typeface="+mn-ea"/>
                <a:cs typeface="+mn-cs"/>
              </a:defRPr>
            </a:pPr>
            <a:r>
              <a:rPr lang="en-US" sz="2400" b="1">
                <a:solidFill>
                  <a:srgbClr val="FFFADA"/>
                </a:solidFill>
              </a:rPr>
              <a:t>SALES</a:t>
            </a:r>
            <a:r>
              <a:rPr lang="en-US" sz="2400" b="1" baseline="0">
                <a:solidFill>
                  <a:srgbClr val="FFFADA"/>
                </a:solidFill>
              </a:rPr>
              <a:t> BY CHANEL</a:t>
            </a:r>
            <a:endParaRPr lang="en-US" sz="2400" b="1">
              <a:solidFill>
                <a:srgbClr val="FFFADA"/>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FFFAD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FAD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3CADC"/>
          </a:solidFill>
          <a:ln w="19050">
            <a:solidFill>
              <a:schemeClr val="lt1"/>
            </a:solidFill>
          </a:ln>
          <a:effectLst/>
        </c:spPr>
      </c:pivotFmt>
      <c:pivotFmt>
        <c:idx val="6"/>
        <c:spPr>
          <a:solidFill>
            <a:srgbClr val="FFFADA"/>
          </a:solidFill>
          <a:ln w="19050">
            <a:solidFill>
              <a:schemeClr val="lt1"/>
            </a:solidFill>
          </a:ln>
          <a:effectLst/>
        </c:spPr>
      </c:pivotFmt>
    </c:pivotFmts>
    <c:plotArea>
      <c:layout>
        <c:manualLayout>
          <c:layoutTarget val="inner"/>
          <c:xMode val="edge"/>
          <c:yMode val="edge"/>
          <c:x val="0.12425096163701981"/>
          <c:y val="0.19052559374174632"/>
          <c:w val="0.4390976227219322"/>
          <c:h val="0.69494077308510105"/>
        </c:manualLayout>
      </c:layout>
      <c:doughnutChart>
        <c:varyColors val="1"/>
        <c:ser>
          <c:idx val="0"/>
          <c:order val="0"/>
          <c:tx>
            <c:v>Total</c:v>
          </c:tx>
          <c:spPr>
            <a:solidFill>
              <a:srgbClr val="FFFADA"/>
            </a:solidFill>
          </c:spPr>
          <c:dPt>
            <c:idx val="0"/>
            <c:bubble3D val="0"/>
            <c:spPr>
              <a:solidFill>
                <a:srgbClr val="F3CADC"/>
              </a:solidFill>
              <a:ln w="19050">
                <a:solidFill>
                  <a:schemeClr val="lt1"/>
                </a:solidFill>
              </a:ln>
              <a:effectLst/>
            </c:spPr>
            <c:extLst>
              <c:ext xmlns:c16="http://schemas.microsoft.com/office/drawing/2014/chart" uri="{C3380CC4-5D6E-409C-BE32-E72D297353CC}">
                <c16:uniqueId val="{00000001-698A-F947-83EF-945A51DE3922}"/>
              </c:ext>
            </c:extLst>
          </c:dPt>
          <c:dPt>
            <c:idx val="1"/>
            <c:bubble3D val="0"/>
            <c:spPr>
              <a:solidFill>
                <a:srgbClr val="FFFADA"/>
              </a:solidFill>
              <a:ln w="19050">
                <a:solidFill>
                  <a:schemeClr val="lt1"/>
                </a:solidFill>
              </a:ln>
              <a:effectLst/>
            </c:spPr>
            <c:extLst>
              <c:ext xmlns:c16="http://schemas.microsoft.com/office/drawing/2014/chart" uri="{C3380CC4-5D6E-409C-BE32-E72D297353CC}">
                <c16:uniqueId val="{00000003-698A-F947-83EF-945A51DE3922}"/>
              </c:ext>
            </c:extLst>
          </c:dPt>
          <c:cat>
            <c:strLit>
              <c:ptCount val="2"/>
              <c:pt idx="0">
                <c:v>Offline</c:v>
              </c:pt>
              <c:pt idx="1">
                <c:v>Online</c:v>
              </c:pt>
            </c:strLit>
          </c:cat>
          <c:val>
            <c:numLit>
              <c:formatCode>General</c:formatCode>
              <c:ptCount val="2"/>
              <c:pt idx="0">
                <c:v>186040000</c:v>
              </c:pt>
              <c:pt idx="1">
                <c:v>178430000</c:v>
              </c:pt>
            </c:numLit>
          </c:val>
          <c:extLst>
            <c:ext xmlns:c16="http://schemas.microsoft.com/office/drawing/2014/chart" uri="{C3380CC4-5D6E-409C-BE32-E72D297353CC}">
              <c16:uniqueId val="{00000004-698A-F947-83EF-945A51DE392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561584313779629"/>
          <c:y val="0.41281083679631225"/>
          <c:w val="0.19054752567654509"/>
          <c:h val="0.21342614496818241"/>
        </c:manualLayout>
      </c:layout>
      <c:overlay val="0"/>
      <c:spPr>
        <a:noFill/>
        <a:ln>
          <a:noFill/>
        </a:ln>
        <a:effectLst/>
      </c:spPr>
      <c:txPr>
        <a:bodyPr rot="0" spcFirstLastPara="1" vertOverflow="ellipsis" vert="horz" wrap="square" anchor="ctr" anchorCtr="1"/>
        <a:lstStyle/>
        <a:p>
          <a:pPr>
            <a:defRPr sz="2400" b="0" i="0" u="none" strike="noStrike" kern="1200" baseline="0">
              <a:solidFill>
                <a:srgbClr val="FFFADA"/>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1557B"/>
    </a:solidFill>
    <a:ln w="9525" cap="flat" cmpd="sng" algn="ctr">
      <a:noFill/>
      <a:round/>
    </a:ln>
    <a:effectLst/>
  </c:spPr>
  <c:txPr>
    <a:bodyPr/>
    <a:lstStyle/>
    <a:p>
      <a:pPr>
        <a:defRPr/>
      </a:pPr>
      <a:endParaRPr lang="id-ID"/>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175945</xdr:rowOff>
    </xdr:from>
    <xdr:to>
      <xdr:col>2</xdr:col>
      <xdr:colOff>742023</xdr:colOff>
      <xdr:row>21</xdr:row>
      <xdr:rowOff>114300</xdr:rowOff>
    </xdr:to>
    <xdr:graphicFrame macro="">
      <xdr:nvGraphicFramePr>
        <xdr:cNvPr id="5" name="Bagan 4">
          <a:extLst>
            <a:ext uri="{FF2B5EF4-FFF2-40B4-BE49-F238E27FC236}">
              <a16:creationId xmlns:a16="http://schemas.microsoft.com/office/drawing/2014/main" id="{B6205E55-DB07-91C9-C832-06E84506F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228600</xdr:colOff>
      <xdr:row>11</xdr:row>
      <xdr:rowOff>25400</xdr:rowOff>
    </xdr:from>
    <xdr:to>
      <xdr:col>5</xdr:col>
      <xdr:colOff>1270000</xdr:colOff>
      <xdr:row>21</xdr:row>
      <xdr:rowOff>101600</xdr:rowOff>
    </xdr:to>
    <xdr:graphicFrame macro="">
      <xdr:nvGraphicFramePr>
        <xdr:cNvPr id="12" name="Bagan 11">
          <a:extLst>
            <a:ext uri="{FF2B5EF4-FFF2-40B4-BE49-F238E27FC236}">
              <a16:creationId xmlns:a16="http://schemas.microsoft.com/office/drawing/2014/main" id="{37C6720D-48F6-9578-9D91-73468705B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165100</xdr:colOff>
      <xdr:row>12</xdr:row>
      <xdr:rowOff>152400</xdr:rowOff>
    </xdr:from>
    <xdr:to>
      <xdr:col>10</xdr:col>
      <xdr:colOff>406400</xdr:colOff>
      <xdr:row>26</xdr:row>
      <xdr:rowOff>50800</xdr:rowOff>
    </xdr:to>
    <xdr:graphicFrame macro="">
      <xdr:nvGraphicFramePr>
        <xdr:cNvPr id="16" name="Bagan 15">
          <a:extLst>
            <a:ext uri="{FF2B5EF4-FFF2-40B4-BE49-F238E27FC236}">
              <a16:creationId xmlns:a16="http://schemas.microsoft.com/office/drawing/2014/main" id="{55E8FD84-47C9-7FC2-3A09-5FF416807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1231900</xdr:colOff>
      <xdr:row>9</xdr:row>
      <xdr:rowOff>25400</xdr:rowOff>
    </xdr:from>
    <xdr:to>
      <xdr:col>17</xdr:col>
      <xdr:colOff>25400</xdr:colOff>
      <xdr:row>18</xdr:row>
      <xdr:rowOff>139700</xdr:rowOff>
    </xdr:to>
    <xdr:graphicFrame macro="">
      <xdr:nvGraphicFramePr>
        <xdr:cNvPr id="18" name="Bagan 17">
          <a:extLst>
            <a:ext uri="{FF2B5EF4-FFF2-40B4-BE49-F238E27FC236}">
              <a16:creationId xmlns:a16="http://schemas.microsoft.com/office/drawing/2014/main" id="{DE732678-8C56-B8EE-5D83-E003597AF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8466</xdr:colOff>
      <xdr:row>32</xdr:row>
      <xdr:rowOff>21168</xdr:rowOff>
    </xdr:from>
    <xdr:to>
      <xdr:col>2</xdr:col>
      <xdr:colOff>245533</xdr:colOff>
      <xdr:row>44</xdr:row>
      <xdr:rowOff>202140</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EE513D3B-ED24-0B30-3388-9A2188959AE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27666" y="6523568"/>
              <a:ext cx="1828800" cy="2619372"/>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2</xdr:col>
      <xdr:colOff>508000</xdr:colOff>
      <xdr:row>32</xdr:row>
      <xdr:rowOff>29634</xdr:rowOff>
    </xdr:from>
    <xdr:to>
      <xdr:col>4</xdr:col>
      <xdr:colOff>237067</xdr:colOff>
      <xdr:row>45</xdr:row>
      <xdr:rowOff>7406</xdr:rowOff>
    </xdr:to>
    <mc:AlternateContent xmlns:mc="http://schemas.openxmlformats.org/markup-compatibility/2006" xmlns:a14="http://schemas.microsoft.com/office/drawing/2010/main">
      <mc:Choice Requires="a14">
        <xdr:graphicFrame macro="">
          <xdr:nvGraphicFramePr>
            <xdr:cNvPr id="21" name="Size">
              <a:extLst>
                <a:ext uri="{FF2B5EF4-FFF2-40B4-BE49-F238E27FC236}">
                  <a16:creationId xmlns:a16="http://schemas.microsoft.com/office/drawing/2014/main" id="{1E2C4911-56B7-41E0-0145-B1DF043495D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3318933" y="6532034"/>
              <a:ext cx="1828801" cy="2619372"/>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4</xdr:col>
      <xdr:colOff>42332</xdr:colOff>
      <xdr:row>27</xdr:row>
      <xdr:rowOff>122766</xdr:rowOff>
    </xdr:from>
    <xdr:to>
      <xdr:col>5</xdr:col>
      <xdr:colOff>1303865</xdr:colOff>
      <xdr:row>32</xdr:row>
      <xdr:rowOff>135466</xdr:rowOff>
    </xdr:to>
    <mc:AlternateContent xmlns:mc="http://schemas.openxmlformats.org/markup-compatibility/2006" xmlns:a14="http://schemas.microsoft.com/office/drawing/2010/main">
      <mc:Choice Requires="a14">
        <xdr:graphicFrame macro="">
          <xdr:nvGraphicFramePr>
            <xdr:cNvPr id="22" name="Sales_Channel">
              <a:extLst>
                <a:ext uri="{FF2B5EF4-FFF2-40B4-BE49-F238E27FC236}">
                  <a16:creationId xmlns:a16="http://schemas.microsoft.com/office/drawing/2014/main" id="{C4A432E6-78B5-493D-B483-C447122DDE40}"/>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4952999" y="5609166"/>
              <a:ext cx="2683933" cy="102870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5</xdr:col>
      <xdr:colOff>1320799</xdr:colOff>
      <xdr:row>31</xdr:row>
      <xdr:rowOff>182033</xdr:rowOff>
    </xdr:from>
    <xdr:to>
      <xdr:col>7</xdr:col>
      <xdr:colOff>474133</xdr:colOff>
      <xdr:row>44</xdr:row>
      <xdr:rowOff>159805</xdr:rowOff>
    </xdr:to>
    <mc:AlternateContent xmlns:mc="http://schemas.openxmlformats.org/markup-compatibility/2006" xmlns:a14="http://schemas.microsoft.com/office/drawing/2010/main">
      <mc:Choice Requires="a14">
        <xdr:graphicFrame macro="">
          <xdr:nvGraphicFramePr>
            <xdr:cNvPr id="23" name="Customer_Type">
              <a:extLst>
                <a:ext uri="{FF2B5EF4-FFF2-40B4-BE49-F238E27FC236}">
                  <a16:creationId xmlns:a16="http://schemas.microsoft.com/office/drawing/2014/main" id="{B3A13154-85A4-6D85-1B98-C2E6D4A08468}"/>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7653866" y="6481233"/>
              <a:ext cx="1828800" cy="2619372"/>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11</xdr:col>
      <xdr:colOff>328705</xdr:colOff>
      <xdr:row>24</xdr:row>
      <xdr:rowOff>57150</xdr:rowOff>
    </xdr:from>
    <xdr:to>
      <xdr:col>14</xdr:col>
      <xdr:colOff>698499</xdr:colOff>
      <xdr:row>37</xdr:row>
      <xdr:rowOff>129614</xdr:rowOff>
    </xdr:to>
    <xdr:graphicFrame macro="">
      <xdr:nvGraphicFramePr>
        <xdr:cNvPr id="27" name="Bagan 26">
          <a:extLst>
            <a:ext uri="{FF2B5EF4-FFF2-40B4-BE49-F238E27FC236}">
              <a16:creationId xmlns:a16="http://schemas.microsoft.com/office/drawing/2014/main" id="{22DA8202-31D7-37E6-7206-1650DA4E9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11287</xdr:rowOff>
    </xdr:from>
    <xdr:to>
      <xdr:col>36</xdr:col>
      <xdr:colOff>127000</xdr:colOff>
      <xdr:row>90</xdr:row>
      <xdr:rowOff>0</xdr:rowOff>
    </xdr:to>
    <xdr:sp macro="" textlink="">
      <xdr:nvSpPr>
        <xdr:cNvPr id="17" name="Persegi Panjang 16">
          <a:extLst>
            <a:ext uri="{FF2B5EF4-FFF2-40B4-BE49-F238E27FC236}">
              <a16:creationId xmlns:a16="http://schemas.microsoft.com/office/drawing/2014/main" id="{F4AD8D97-5B9C-FB43-A11E-4E4B45B0FB8D}"/>
            </a:ext>
          </a:extLst>
        </xdr:cNvPr>
        <xdr:cNvSpPr/>
      </xdr:nvSpPr>
      <xdr:spPr>
        <a:xfrm>
          <a:off x="0" y="2449687"/>
          <a:ext cx="30302200" cy="1583831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solidFill>
              <a:schemeClr val="bg1"/>
            </a:solidFill>
          </a:endParaRPr>
        </a:p>
      </xdr:txBody>
    </xdr:sp>
    <xdr:clientData/>
  </xdr:twoCellAnchor>
  <xdr:twoCellAnchor>
    <xdr:from>
      <xdr:col>0</xdr:col>
      <xdr:colOff>0</xdr:colOff>
      <xdr:row>0</xdr:row>
      <xdr:rowOff>0</xdr:rowOff>
    </xdr:from>
    <xdr:to>
      <xdr:col>35</xdr:col>
      <xdr:colOff>431800</xdr:colOff>
      <xdr:row>12</xdr:row>
      <xdr:rowOff>12700</xdr:rowOff>
    </xdr:to>
    <xdr:sp macro="" textlink="">
      <xdr:nvSpPr>
        <xdr:cNvPr id="2" name="Persegi Panjang 1">
          <a:extLst>
            <a:ext uri="{FF2B5EF4-FFF2-40B4-BE49-F238E27FC236}">
              <a16:creationId xmlns:a16="http://schemas.microsoft.com/office/drawing/2014/main" id="{7062E394-05FD-7824-4F04-7E45C463F10A}"/>
            </a:ext>
          </a:extLst>
        </xdr:cNvPr>
        <xdr:cNvSpPr/>
      </xdr:nvSpPr>
      <xdr:spPr>
        <a:xfrm>
          <a:off x="0" y="0"/>
          <a:ext cx="29768800" cy="2451100"/>
        </a:xfrm>
        <a:prstGeom prst="rect">
          <a:avLst/>
        </a:prstGeom>
        <a:solidFill>
          <a:srgbClr val="F3C9D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editAs="oneCell">
    <xdr:from>
      <xdr:col>0</xdr:col>
      <xdr:colOff>243193</xdr:colOff>
      <xdr:row>0</xdr:row>
      <xdr:rowOff>166721</xdr:rowOff>
    </xdr:from>
    <xdr:to>
      <xdr:col>2</xdr:col>
      <xdr:colOff>645270</xdr:colOff>
      <xdr:row>9</xdr:row>
      <xdr:rowOff>74391</xdr:rowOff>
    </xdr:to>
    <xdr:pic>
      <xdr:nvPicPr>
        <xdr:cNvPr id="6" name="Gambar 5">
          <a:extLst>
            <a:ext uri="{FF2B5EF4-FFF2-40B4-BE49-F238E27FC236}">
              <a16:creationId xmlns:a16="http://schemas.microsoft.com/office/drawing/2014/main" id="{41DE2759-7CF5-7EE7-9ADF-8F4D63695F4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824" t="16748" r="11927" b="19663"/>
        <a:stretch>
          <a:fillRect/>
        </a:stretch>
      </xdr:blipFill>
      <xdr:spPr>
        <a:xfrm>
          <a:off x="243193" y="166721"/>
          <a:ext cx="2077396" cy="1853202"/>
        </a:xfrm>
        <a:prstGeom prst="rect">
          <a:avLst/>
        </a:prstGeom>
      </xdr:spPr>
    </xdr:pic>
    <xdr:clientData/>
  </xdr:twoCellAnchor>
  <xdr:oneCellAnchor>
    <xdr:from>
      <xdr:col>3</xdr:col>
      <xdr:colOff>152400</xdr:colOff>
      <xdr:row>2</xdr:row>
      <xdr:rowOff>38101</xdr:rowOff>
    </xdr:from>
    <xdr:ext cx="13265170" cy="977127"/>
    <xdr:sp macro="" textlink="">
      <xdr:nvSpPr>
        <xdr:cNvPr id="7" name="Kotak Teks 6">
          <a:extLst>
            <a:ext uri="{FF2B5EF4-FFF2-40B4-BE49-F238E27FC236}">
              <a16:creationId xmlns:a16="http://schemas.microsoft.com/office/drawing/2014/main" id="{451D0C19-68D3-8BDC-7055-82448171413F}"/>
            </a:ext>
          </a:extLst>
        </xdr:cNvPr>
        <xdr:cNvSpPr txBox="1"/>
      </xdr:nvSpPr>
      <xdr:spPr>
        <a:xfrm>
          <a:off x="2665379" y="470441"/>
          <a:ext cx="13265170" cy="9771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6000" b="1">
              <a:solidFill>
                <a:srgbClr val="3F1B5A"/>
              </a:solidFill>
              <a:latin typeface=""/>
              <a:ea typeface="Baskerville" panose="02020502070401020303" pitchFamily="18" charset="0"/>
              <a:cs typeface="Apple Chancery" panose="03020702040506060504" pitchFamily="66" charset="-79"/>
            </a:rPr>
            <a:t>BELLAMADU SALES DASHBOARD </a:t>
          </a:r>
        </a:p>
      </xdr:txBody>
    </xdr:sp>
    <xdr:clientData/>
  </xdr:oneCellAnchor>
  <xdr:oneCellAnchor>
    <xdr:from>
      <xdr:col>3</xdr:col>
      <xdr:colOff>192121</xdr:colOff>
      <xdr:row>6</xdr:row>
      <xdr:rowOff>127000</xdr:rowOff>
    </xdr:from>
    <xdr:ext cx="7080656" cy="553934"/>
    <xdr:sp macro="" textlink="">
      <xdr:nvSpPr>
        <xdr:cNvPr id="8" name="Kotak Teks 7">
          <a:extLst>
            <a:ext uri="{FF2B5EF4-FFF2-40B4-BE49-F238E27FC236}">
              <a16:creationId xmlns:a16="http://schemas.microsoft.com/office/drawing/2014/main" id="{9EDFF8B4-B4AE-7A58-9145-6D038319A756}"/>
            </a:ext>
          </a:extLst>
        </xdr:cNvPr>
        <xdr:cNvSpPr txBox="1"/>
      </xdr:nvSpPr>
      <xdr:spPr>
        <a:xfrm>
          <a:off x="2705100" y="1424021"/>
          <a:ext cx="7080656" cy="5539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3200" u="none">
              <a:solidFill>
                <a:srgbClr val="3A325C"/>
              </a:solidFill>
              <a:latin typeface="Andale Mono" panose="020B0509000000000004" pitchFamily="49" charset="0"/>
              <a:cs typeface="Angsana New" panose="02020603050405020304" pitchFamily="18" charset="-34"/>
            </a:rPr>
            <a:t>Periode Januari – Juni</a:t>
          </a:r>
          <a:r>
            <a:rPr lang="id-ID" sz="3200" u="none" baseline="0">
              <a:solidFill>
                <a:srgbClr val="3A325C"/>
              </a:solidFill>
              <a:latin typeface="Andale Mono" panose="020B0509000000000004" pitchFamily="49" charset="0"/>
              <a:cs typeface="Angsana New" panose="02020603050405020304" pitchFamily="18" charset="-34"/>
            </a:rPr>
            <a:t> </a:t>
          </a:r>
          <a:r>
            <a:rPr lang="id-ID" sz="3200" u="none">
              <a:solidFill>
                <a:srgbClr val="3A325C"/>
              </a:solidFill>
              <a:latin typeface="Andale Mono" panose="020B0509000000000004" pitchFamily="49" charset="0"/>
              <a:cs typeface="Angsana New" panose="02020603050405020304" pitchFamily="18" charset="-34"/>
            </a:rPr>
            <a:t>2025 </a:t>
          </a:r>
        </a:p>
      </xdr:txBody>
    </xdr:sp>
    <xdr:clientData/>
  </xdr:oneCellAnchor>
  <xdr:twoCellAnchor>
    <xdr:from>
      <xdr:col>0</xdr:col>
      <xdr:colOff>288787</xdr:colOff>
      <xdr:row>10</xdr:row>
      <xdr:rowOff>88900</xdr:rowOff>
    </xdr:from>
    <xdr:to>
      <xdr:col>5</xdr:col>
      <xdr:colOff>673100</xdr:colOff>
      <xdr:row>16</xdr:row>
      <xdr:rowOff>158430</xdr:rowOff>
    </xdr:to>
    <xdr:sp macro="" textlink="">
      <xdr:nvSpPr>
        <xdr:cNvPr id="9" name="Persegi Lengkung 8">
          <a:extLst>
            <a:ext uri="{FF2B5EF4-FFF2-40B4-BE49-F238E27FC236}">
              <a16:creationId xmlns:a16="http://schemas.microsoft.com/office/drawing/2014/main" id="{6BE5360F-5B49-ACA0-22BB-CFB47BA7B2BB}"/>
            </a:ext>
          </a:extLst>
        </xdr:cNvPr>
        <xdr:cNvSpPr/>
      </xdr:nvSpPr>
      <xdr:spPr>
        <a:xfrm>
          <a:off x="288787" y="2120900"/>
          <a:ext cx="4511813" cy="1288730"/>
        </a:xfrm>
        <a:prstGeom prst="roundRect">
          <a:avLst/>
        </a:prstGeom>
        <a:solidFill>
          <a:srgbClr val="3A32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1</xdr:col>
      <xdr:colOff>561159</xdr:colOff>
      <xdr:row>14</xdr:row>
      <xdr:rowOff>19827</xdr:rowOff>
    </xdr:from>
    <xdr:ext cx="2251018" cy="468013"/>
    <xdr:sp macro="" textlink="">
      <xdr:nvSpPr>
        <xdr:cNvPr id="10" name="Kotak Teks 9">
          <a:extLst>
            <a:ext uri="{FF2B5EF4-FFF2-40B4-BE49-F238E27FC236}">
              <a16:creationId xmlns:a16="http://schemas.microsoft.com/office/drawing/2014/main" id="{C5D5799D-B62E-9FD7-56E5-F3823E243F86}"/>
            </a:ext>
          </a:extLst>
        </xdr:cNvPr>
        <xdr:cNvSpPr txBox="1"/>
      </xdr:nvSpPr>
      <xdr:spPr>
        <a:xfrm>
          <a:off x="1386659" y="2864627"/>
          <a:ext cx="225101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d-ID" sz="2400">
              <a:solidFill>
                <a:srgbClr val="E9E1C3"/>
              </a:solidFill>
            </a:rPr>
            <a:t>Rp.</a:t>
          </a:r>
          <a:r>
            <a:rPr lang="id-ID" sz="2400" baseline="0">
              <a:solidFill>
                <a:srgbClr val="E9E1C3"/>
              </a:solidFill>
            </a:rPr>
            <a:t> 364.470.000</a:t>
          </a:r>
          <a:endParaRPr lang="id-ID" sz="2400">
            <a:solidFill>
              <a:srgbClr val="E9E1C3"/>
            </a:solidFill>
          </a:endParaRPr>
        </a:p>
      </xdr:txBody>
    </xdr:sp>
    <xdr:clientData/>
  </xdr:oneCellAnchor>
  <xdr:oneCellAnchor>
    <xdr:from>
      <xdr:col>2</xdr:col>
      <xdr:colOff>63500</xdr:colOff>
      <xdr:row>11</xdr:row>
      <xdr:rowOff>12700</xdr:rowOff>
    </xdr:from>
    <xdr:ext cx="1765933" cy="374141"/>
    <xdr:sp macro="" textlink="">
      <xdr:nvSpPr>
        <xdr:cNvPr id="11" name="Kotak Teks 10">
          <a:extLst>
            <a:ext uri="{FF2B5EF4-FFF2-40B4-BE49-F238E27FC236}">
              <a16:creationId xmlns:a16="http://schemas.microsoft.com/office/drawing/2014/main" id="{270DE1BC-E52C-E3D4-4E91-EA27BE418E2A}"/>
            </a:ext>
          </a:extLst>
        </xdr:cNvPr>
        <xdr:cNvSpPr txBox="1"/>
      </xdr:nvSpPr>
      <xdr:spPr>
        <a:xfrm>
          <a:off x="1714500" y="2247900"/>
          <a:ext cx="176593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800" b="1">
              <a:solidFill>
                <a:srgbClr val="E9E1C3"/>
              </a:solidFill>
            </a:rPr>
            <a:t>TOTAL REVENUE</a:t>
          </a:r>
        </a:p>
      </xdr:txBody>
    </xdr:sp>
    <xdr:clientData/>
  </xdr:oneCellAnchor>
  <xdr:twoCellAnchor>
    <xdr:from>
      <xdr:col>0</xdr:col>
      <xdr:colOff>288787</xdr:colOff>
      <xdr:row>13</xdr:row>
      <xdr:rowOff>123665</xdr:rowOff>
    </xdr:from>
    <xdr:to>
      <xdr:col>5</xdr:col>
      <xdr:colOff>673100</xdr:colOff>
      <xdr:row>13</xdr:row>
      <xdr:rowOff>123665</xdr:rowOff>
    </xdr:to>
    <xdr:cxnSp macro="">
      <xdr:nvCxnSpPr>
        <xdr:cNvPr id="13" name="Konektor Lurus 12">
          <a:extLst>
            <a:ext uri="{FF2B5EF4-FFF2-40B4-BE49-F238E27FC236}">
              <a16:creationId xmlns:a16="http://schemas.microsoft.com/office/drawing/2014/main" id="{FB2BC871-DFDB-0099-17FD-AB9FCD14B786}"/>
            </a:ext>
          </a:extLst>
        </xdr:cNvPr>
        <xdr:cNvCxnSpPr>
          <a:stCxn id="9" idx="1"/>
          <a:endCxn id="9" idx="3"/>
        </xdr:cNvCxnSpPr>
      </xdr:nvCxnSpPr>
      <xdr:spPr>
        <a:xfrm>
          <a:off x="288787" y="2765265"/>
          <a:ext cx="4511813" cy="0"/>
        </a:xfrm>
        <a:prstGeom prst="line">
          <a:avLst/>
        </a:prstGeom>
        <a:ln w="12700">
          <a:solidFill>
            <a:srgbClr val="E9E1C3"/>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302261</xdr:colOff>
      <xdr:row>10</xdr:row>
      <xdr:rowOff>116103</xdr:rowOff>
    </xdr:from>
    <xdr:to>
      <xdr:col>8</xdr:col>
      <xdr:colOff>784861</xdr:colOff>
      <xdr:row>16</xdr:row>
      <xdr:rowOff>185633</xdr:rowOff>
    </xdr:to>
    <xdr:sp macro="" textlink="">
      <xdr:nvSpPr>
        <xdr:cNvPr id="16" name="Persegi Lengkung 15">
          <a:extLst>
            <a:ext uri="{FF2B5EF4-FFF2-40B4-BE49-F238E27FC236}">
              <a16:creationId xmlns:a16="http://schemas.microsoft.com/office/drawing/2014/main" id="{23AC210B-359A-D843-BE02-56B11054E62E}"/>
            </a:ext>
          </a:extLst>
        </xdr:cNvPr>
        <xdr:cNvSpPr/>
      </xdr:nvSpPr>
      <xdr:spPr>
        <a:xfrm>
          <a:off x="5266806" y="2136558"/>
          <a:ext cx="2137449" cy="1281802"/>
        </a:xfrm>
        <a:prstGeom prst="roundRect">
          <a:avLst/>
        </a:prstGeom>
        <a:solidFill>
          <a:srgbClr val="3A32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6</xdr:col>
      <xdr:colOff>602544</xdr:colOff>
      <xdr:row>11</xdr:row>
      <xdr:rowOff>60678</xdr:rowOff>
    </xdr:from>
    <xdr:ext cx="1642244" cy="374141"/>
    <xdr:sp macro="" textlink="">
      <xdr:nvSpPr>
        <xdr:cNvPr id="18" name="Kotak Teks 17">
          <a:extLst>
            <a:ext uri="{FF2B5EF4-FFF2-40B4-BE49-F238E27FC236}">
              <a16:creationId xmlns:a16="http://schemas.microsoft.com/office/drawing/2014/main" id="{EF1C3DA1-6D7B-EF41-9F57-C77274D488B6}"/>
            </a:ext>
          </a:extLst>
        </xdr:cNvPr>
        <xdr:cNvSpPr txBox="1"/>
      </xdr:nvSpPr>
      <xdr:spPr>
        <a:xfrm>
          <a:off x="5555544" y="2295878"/>
          <a:ext cx="164224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800" b="1">
              <a:solidFill>
                <a:srgbClr val="E9E1C3"/>
              </a:solidFill>
            </a:rPr>
            <a:t>TOTAL ORDERS</a:t>
          </a:r>
        </a:p>
      </xdr:txBody>
    </xdr:sp>
    <xdr:clientData/>
  </xdr:oneCellAnchor>
  <xdr:twoCellAnchor>
    <xdr:from>
      <xdr:col>6</xdr:col>
      <xdr:colOff>254000</xdr:colOff>
      <xdr:row>13</xdr:row>
      <xdr:rowOff>149321</xdr:rowOff>
    </xdr:from>
    <xdr:to>
      <xdr:col>8</xdr:col>
      <xdr:colOff>784861</xdr:colOff>
      <xdr:row>13</xdr:row>
      <xdr:rowOff>150868</xdr:rowOff>
    </xdr:to>
    <xdr:cxnSp macro="">
      <xdr:nvCxnSpPr>
        <xdr:cNvPr id="19" name="Konektor Lurus 18">
          <a:extLst>
            <a:ext uri="{FF2B5EF4-FFF2-40B4-BE49-F238E27FC236}">
              <a16:creationId xmlns:a16="http://schemas.microsoft.com/office/drawing/2014/main" id="{E464E68D-D233-A54E-B095-42B676A2BED9}"/>
            </a:ext>
          </a:extLst>
        </xdr:cNvPr>
        <xdr:cNvCxnSpPr>
          <a:endCxn id="16" idx="3"/>
        </xdr:cNvCxnSpPr>
      </xdr:nvCxnSpPr>
      <xdr:spPr>
        <a:xfrm>
          <a:off x="5218545" y="2775912"/>
          <a:ext cx="2185710" cy="1547"/>
        </a:xfrm>
        <a:prstGeom prst="line">
          <a:avLst/>
        </a:prstGeom>
        <a:ln w="12700">
          <a:solidFill>
            <a:srgbClr val="E9E1C3"/>
          </a:solidFill>
        </a:ln>
      </xdr:spPr>
      <xdr:style>
        <a:lnRef idx="1">
          <a:schemeClr val="dk1"/>
        </a:lnRef>
        <a:fillRef idx="0">
          <a:schemeClr val="dk1"/>
        </a:fillRef>
        <a:effectRef idx="0">
          <a:schemeClr val="dk1"/>
        </a:effectRef>
        <a:fontRef idx="minor">
          <a:schemeClr val="tx1"/>
        </a:fontRef>
      </xdr:style>
    </xdr:cxnSp>
    <xdr:clientData/>
  </xdr:twoCellAnchor>
  <xdr:oneCellAnchor>
    <xdr:from>
      <xdr:col>6</xdr:col>
      <xdr:colOff>492904</xdr:colOff>
      <xdr:row>13</xdr:row>
      <xdr:rowOff>170533</xdr:rowOff>
    </xdr:from>
    <xdr:ext cx="1727200" cy="468013"/>
    <xdr:sp macro="" textlink="">
      <xdr:nvSpPr>
        <xdr:cNvPr id="20" name="Kotak Teks 19">
          <a:extLst>
            <a:ext uri="{FF2B5EF4-FFF2-40B4-BE49-F238E27FC236}">
              <a16:creationId xmlns:a16="http://schemas.microsoft.com/office/drawing/2014/main" id="{5FFA55CD-81CD-6D47-9571-E8838548C859}"/>
            </a:ext>
          </a:extLst>
        </xdr:cNvPr>
        <xdr:cNvSpPr txBox="1"/>
      </xdr:nvSpPr>
      <xdr:spPr>
        <a:xfrm>
          <a:off x="5445904" y="2812133"/>
          <a:ext cx="17272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id-ID" sz="2400">
              <a:solidFill>
                <a:srgbClr val="E9E1C3"/>
              </a:solidFill>
            </a:rPr>
            <a:t>703</a:t>
          </a:r>
        </a:p>
      </xdr:txBody>
    </xdr:sp>
    <xdr:clientData/>
  </xdr:oneCellAnchor>
  <xdr:twoCellAnchor>
    <xdr:from>
      <xdr:col>9</xdr:col>
      <xdr:colOff>412327</xdr:colOff>
      <xdr:row>10</xdr:row>
      <xdr:rowOff>116360</xdr:rowOff>
    </xdr:from>
    <xdr:to>
      <xdr:col>12</xdr:col>
      <xdr:colOff>62371</xdr:colOff>
      <xdr:row>16</xdr:row>
      <xdr:rowOff>185890</xdr:rowOff>
    </xdr:to>
    <xdr:sp macro="" textlink="">
      <xdr:nvSpPr>
        <xdr:cNvPr id="21" name="Persegi Lengkung 20">
          <a:extLst>
            <a:ext uri="{FF2B5EF4-FFF2-40B4-BE49-F238E27FC236}">
              <a16:creationId xmlns:a16="http://schemas.microsoft.com/office/drawing/2014/main" id="{42E3AF6D-8EB7-0742-9D35-0571DC2AA62F}"/>
            </a:ext>
          </a:extLst>
        </xdr:cNvPr>
        <xdr:cNvSpPr/>
      </xdr:nvSpPr>
      <xdr:spPr>
        <a:xfrm>
          <a:off x="7841827" y="2148360"/>
          <a:ext cx="2126544" cy="1288730"/>
        </a:xfrm>
        <a:prstGeom prst="roundRect">
          <a:avLst/>
        </a:prstGeom>
        <a:solidFill>
          <a:srgbClr val="3A32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10</xdr:col>
      <xdr:colOff>33865</xdr:colOff>
      <xdr:row>11</xdr:row>
      <xdr:rowOff>59267</xdr:rowOff>
    </xdr:from>
    <xdr:ext cx="1235338" cy="374141"/>
    <xdr:sp macro="" textlink="">
      <xdr:nvSpPr>
        <xdr:cNvPr id="22" name="Kotak Teks 21">
          <a:extLst>
            <a:ext uri="{FF2B5EF4-FFF2-40B4-BE49-F238E27FC236}">
              <a16:creationId xmlns:a16="http://schemas.microsoft.com/office/drawing/2014/main" id="{BDAE5A71-D947-0B47-9429-0772F29BCB99}"/>
            </a:ext>
          </a:extLst>
        </xdr:cNvPr>
        <xdr:cNvSpPr txBox="1"/>
      </xdr:nvSpPr>
      <xdr:spPr>
        <a:xfrm>
          <a:off x="8288865" y="2294467"/>
          <a:ext cx="123533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id-ID" sz="1800" b="1">
              <a:solidFill>
                <a:srgbClr val="E9E1C3"/>
              </a:solidFill>
            </a:rPr>
            <a:t>ITEM SOLD</a:t>
          </a:r>
        </a:p>
      </xdr:txBody>
    </xdr:sp>
    <xdr:clientData/>
  </xdr:oneCellAnchor>
  <xdr:twoCellAnchor>
    <xdr:from>
      <xdr:col>9</xdr:col>
      <xdr:colOff>396102</xdr:colOff>
      <xdr:row>13</xdr:row>
      <xdr:rowOff>137372</xdr:rowOff>
    </xdr:from>
    <xdr:to>
      <xdr:col>12</xdr:col>
      <xdr:colOff>68228</xdr:colOff>
      <xdr:row>13</xdr:row>
      <xdr:rowOff>146411</xdr:rowOff>
    </xdr:to>
    <xdr:cxnSp macro="">
      <xdr:nvCxnSpPr>
        <xdr:cNvPr id="23" name="Konektor Lurus 22">
          <a:extLst>
            <a:ext uri="{FF2B5EF4-FFF2-40B4-BE49-F238E27FC236}">
              <a16:creationId xmlns:a16="http://schemas.microsoft.com/office/drawing/2014/main" id="{65EF5245-05B4-D64E-B556-7B5B1C1A382E}"/>
            </a:ext>
          </a:extLst>
        </xdr:cNvPr>
        <xdr:cNvCxnSpPr/>
      </xdr:nvCxnSpPr>
      <xdr:spPr>
        <a:xfrm flipV="1">
          <a:off x="7825602" y="2778972"/>
          <a:ext cx="2148626" cy="9039"/>
        </a:xfrm>
        <a:prstGeom prst="line">
          <a:avLst/>
        </a:prstGeom>
        <a:ln w="12700">
          <a:solidFill>
            <a:srgbClr val="E9E1C3"/>
          </a:solidFill>
        </a:ln>
      </xdr:spPr>
      <xdr:style>
        <a:lnRef idx="1">
          <a:schemeClr val="dk1"/>
        </a:lnRef>
        <a:fillRef idx="0">
          <a:schemeClr val="dk1"/>
        </a:fillRef>
        <a:effectRef idx="0">
          <a:schemeClr val="dk1"/>
        </a:effectRef>
        <a:fontRef idx="minor">
          <a:schemeClr val="tx1"/>
        </a:fontRef>
      </xdr:style>
    </xdr:cxnSp>
    <xdr:clientData/>
  </xdr:twoCellAnchor>
  <xdr:oneCellAnchor>
    <xdr:from>
      <xdr:col>9</xdr:col>
      <xdr:colOff>617082</xdr:colOff>
      <xdr:row>13</xdr:row>
      <xdr:rowOff>195933</xdr:rowOff>
    </xdr:from>
    <xdr:ext cx="1727200" cy="468013"/>
    <xdr:sp macro="" textlink="">
      <xdr:nvSpPr>
        <xdr:cNvPr id="24" name="Kotak Teks 23">
          <a:extLst>
            <a:ext uri="{FF2B5EF4-FFF2-40B4-BE49-F238E27FC236}">
              <a16:creationId xmlns:a16="http://schemas.microsoft.com/office/drawing/2014/main" id="{2A0BD7B4-4F42-564B-AF36-35CD8D92A3E6}"/>
            </a:ext>
          </a:extLst>
        </xdr:cNvPr>
        <xdr:cNvSpPr txBox="1"/>
      </xdr:nvSpPr>
      <xdr:spPr>
        <a:xfrm>
          <a:off x="8046582" y="2837533"/>
          <a:ext cx="17272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id-ID" sz="2400">
              <a:solidFill>
                <a:srgbClr val="E9E1C3"/>
              </a:solidFill>
            </a:rPr>
            <a:t>1384 Items</a:t>
          </a:r>
        </a:p>
      </xdr:txBody>
    </xdr:sp>
    <xdr:clientData/>
  </xdr:oneCellAnchor>
  <xdr:twoCellAnchor>
    <xdr:from>
      <xdr:col>12</xdr:col>
      <xdr:colOff>531075</xdr:colOff>
      <xdr:row>10</xdr:row>
      <xdr:rowOff>115261</xdr:rowOff>
    </xdr:from>
    <xdr:to>
      <xdr:col>15</xdr:col>
      <xdr:colOff>181118</xdr:colOff>
      <xdr:row>16</xdr:row>
      <xdr:rowOff>185527</xdr:rowOff>
    </xdr:to>
    <xdr:sp macro="" textlink="">
      <xdr:nvSpPr>
        <xdr:cNvPr id="27" name="Persegi Lengkung 26">
          <a:extLst>
            <a:ext uri="{FF2B5EF4-FFF2-40B4-BE49-F238E27FC236}">
              <a16:creationId xmlns:a16="http://schemas.microsoft.com/office/drawing/2014/main" id="{2AC08E45-F23C-F049-BB6F-C177D910897B}"/>
            </a:ext>
          </a:extLst>
        </xdr:cNvPr>
        <xdr:cNvSpPr/>
      </xdr:nvSpPr>
      <xdr:spPr>
        <a:xfrm>
          <a:off x="10437075" y="2147261"/>
          <a:ext cx="2126543" cy="1289466"/>
        </a:xfrm>
        <a:prstGeom prst="roundRect">
          <a:avLst/>
        </a:prstGeom>
        <a:solidFill>
          <a:srgbClr val="3A32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oneCellAnchor>
    <xdr:from>
      <xdr:col>13</xdr:col>
      <xdr:colOff>156918</xdr:colOff>
      <xdr:row>11</xdr:row>
      <xdr:rowOff>90802</xdr:rowOff>
    </xdr:from>
    <xdr:ext cx="1307410" cy="374141"/>
    <xdr:sp macro="" textlink="">
      <xdr:nvSpPr>
        <xdr:cNvPr id="28" name="Kotak Teks 27">
          <a:extLst>
            <a:ext uri="{FF2B5EF4-FFF2-40B4-BE49-F238E27FC236}">
              <a16:creationId xmlns:a16="http://schemas.microsoft.com/office/drawing/2014/main" id="{A7620AB2-5053-1240-BD4F-899531E0806E}"/>
            </a:ext>
          </a:extLst>
        </xdr:cNvPr>
        <xdr:cNvSpPr txBox="1"/>
      </xdr:nvSpPr>
      <xdr:spPr>
        <a:xfrm>
          <a:off x="10888418" y="2326002"/>
          <a:ext cx="130741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id-ID" sz="1800" b="1">
              <a:solidFill>
                <a:srgbClr val="E9E1C3"/>
              </a:solidFill>
            </a:rPr>
            <a:t>GROWTH %</a:t>
          </a:r>
        </a:p>
      </xdr:txBody>
    </xdr:sp>
    <xdr:clientData/>
  </xdr:oneCellAnchor>
  <xdr:twoCellAnchor>
    <xdr:from>
      <xdr:col>12</xdr:col>
      <xdr:colOff>563596</xdr:colOff>
      <xdr:row>13</xdr:row>
      <xdr:rowOff>157803</xdr:rowOff>
    </xdr:from>
    <xdr:to>
      <xdr:col>15</xdr:col>
      <xdr:colOff>235721</xdr:colOff>
      <xdr:row>13</xdr:row>
      <xdr:rowOff>166842</xdr:rowOff>
    </xdr:to>
    <xdr:cxnSp macro="">
      <xdr:nvCxnSpPr>
        <xdr:cNvPr id="29" name="Konektor Lurus 28">
          <a:extLst>
            <a:ext uri="{FF2B5EF4-FFF2-40B4-BE49-F238E27FC236}">
              <a16:creationId xmlns:a16="http://schemas.microsoft.com/office/drawing/2014/main" id="{0809A7C2-CFF8-0442-839F-E6A483C46781}"/>
            </a:ext>
          </a:extLst>
        </xdr:cNvPr>
        <xdr:cNvCxnSpPr/>
      </xdr:nvCxnSpPr>
      <xdr:spPr>
        <a:xfrm flipV="1">
          <a:off x="10469596" y="2799403"/>
          <a:ext cx="2148625" cy="9039"/>
        </a:xfrm>
        <a:prstGeom prst="line">
          <a:avLst/>
        </a:prstGeom>
        <a:ln w="12700">
          <a:solidFill>
            <a:srgbClr val="E9E1C3"/>
          </a:solidFill>
        </a:ln>
      </xdr:spPr>
      <xdr:style>
        <a:lnRef idx="1">
          <a:schemeClr val="dk1"/>
        </a:lnRef>
        <a:fillRef idx="0">
          <a:schemeClr val="dk1"/>
        </a:fillRef>
        <a:effectRef idx="0">
          <a:schemeClr val="dk1"/>
        </a:effectRef>
        <a:fontRef idx="minor">
          <a:schemeClr val="tx1"/>
        </a:fontRef>
      </xdr:style>
    </xdr:cxnSp>
    <xdr:clientData/>
  </xdr:twoCellAnchor>
  <xdr:oneCellAnchor>
    <xdr:from>
      <xdr:col>12</xdr:col>
      <xdr:colOff>766169</xdr:colOff>
      <xdr:row>14</xdr:row>
      <xdr:rowOff>29238</xdr:rowOff>
    </xdr:from>
    <xdr:ext cx="1727200" cy="468013"/>
    <xdr:sp macro="" textlink="">
      <xdr:nvSpPr>
        <xdr:cNvPr id="30" name="Kotak Teks 29">
          <a:extLst>
            <a:ext uri="{FF2B5EF4-FFF2-40B4-BE49-F238E27FC236}">
              <a16:creationId xmlns:a16="http://schemas.microsoft.com/office/drawing/2014/main" id="{C48D551E-591F-1543-BEC2-C10055D7236E}"/>
            </a:ext>
          </a:extLst>
        </xdr:cNvPr>
        <xdr:cNvSpPr txBox="1"/>
      </xdr:nvSpPr>
      <xdr:spPr>
        <a:xfrm>
          <a:off x="10672169" y="2874038"/>
          <a:ext cx="17272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id-ID" sz="2400">
              <a:solidFill>
                <a:srgbClr val="E9E1C3"/>
              </a:solidFill>
            </a:rPr>
            <a:t>22%</a:t>
          </a:r>
        </a:p>
      </xdr:txBody>
    </xdr:sp>
    <xdr:clientData/>
  </xdr:oneCellAnchor>
  <xdr:twoCellAnchor editAs="absolute">
    <xdr:from>
      <xdr:col>16</xdr:col>
      <xdr:colOff>1994</xdr:colOff>
      <xdr:row>9</xdr:row>
      <xdr:rowOff>140128</xdr:rowOff>
    </xdr:from>
    <xdr:to>
      <xdr:col>18</xdr:col>
      <xdr:colOff>172276</xdr:colOff>
      <xdr:row>20</xdr:row>
      <xdr:rowOff>92029</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E95296A7-386A-4B40-9A5E-FED7168C812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252172" y="1962302"/>
              <a:ext cx="1828800" cy="2179002"/>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0</xdr:col>
      <xdr:colOff>184057</xdr:colOff>
      <xdr:row>17</xdr:row>
      <xdr:rowOff>163785</xdr:rowOff>
    </xdr:from>
    <xdr:to>
      <xdr:col>7</xdr:col>
      <xdr:colOff>128840</xdr:colOff>
      <xdr:row>38</xdr:row>
      <xdr:rowOff>92028</xdr:rowOff>
    </xdr:to>
    <xdr:sp macro="" textlink="">
      <xdr:nvSpPr>
        <xdr:cNvPr id="5" name="Persegi Lengkung 4">
          <a:extLst>
            <a:ext uri="{FF2B5EF4-FFF2-40B4-BE49-F238E27FC236}">
              <a16:creationId xmlns:a16="http://schemas.microsoft.com/office/drawing/2014/main" id="{CDBCEC6C-C371-8040-A77F-C30245B52A0C}"/>
            </a:ext>
          </a:extLst>
        </xdr:cNvPr>
        <xdr:cNvSpPr/>
      </xdr:nvSpPr>
      <xdr:spPr>
        <a:xfrm>
          <a:off x="184057" y="3605669"/>
          <a:ext cx="5742609" cy="4179982"/>
        </a:xfrm>
        <a:prstGeom prst="roundRect">
          <a:avLst/>
        </a:prstGeom>
        <a:solidFill>
          <a:srgbClr val="3A32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0</xdr:col>
      <xdr:colOff>386523</xdr:colOff>
      <xdr:row>18</xdr:row>
      <xdr:rowOff>147248</xdr:rowOff>
    </xdr:from>
    <xdr:to>
      <xdr:col>6</xdr:col>
      <xdr:colOff>717827</xdr:colOff>
      <xdr:row>36</xdr:row>
      <xdr:rowOff>55218</xdr:rowOff>
    </xdr:to>
    <xdr:graphicFrame macro="">
      <xdr:nvGraphicFramePr>
        <xdr:cNvPr id="4" name="Bagan 3">
          <a:extLst>
            <a:ext uri="{FF2B5EF4-FFF2-40B4-BE49-F238E27FC236}">
              <a16:creationId xmlns:a16="http://schemas.microsoft.com/office/drawing/2014/main" id="{14D532B7-EAF1-E140-B37A-6C117C920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428486</xdr:colOff>
      <xdr:row>17</xdr:row>
      <xdr:rowOff>150532</xdr:rowOff>
    </xdr:from>
    <xdr:to>
      <xdr:col>15</xdr:col>
      <xdr:colOff>533768</xdr:colOff>
      <xdr:row>38</xdr:row>
      <xdr:rowOff>78775</xdr:rowOff>
    </xdr:to>
    <xdr:sp macro="" textlink="">
      <xdr:nvSpPr>
        <xdr:cNvPr id="12" name="Persegi Lengkung 11">
          <a:extLst>
            <a:ext uri="{FF2B5EF4-FFF2-40B4-BE49-F238E27FC236}">
              <a16:creationId xmlns:a16="http://schemas.microsoft.com/office/drawing/2014/main" id="{CFCAC726-6819-4942-A3C7-3231FA2702C7}"/>
            </a:ext>
          </a:extLst>
        </xdr:cNvPr>
        <xdr:cNvSpPr/>
      </xdr:nvSpPr>
      <xdr:spPr>
        <a:xfrm>
          <a:off x="6226312" y="3592416"/>
          <a:ext cx="6731369" cy="4179982"/>
        </a:xfrm>
        <a:prstGeom prst="roundRect">
          <a:avLst/>
        </a:prstGeom>
        <a:solidFill>
          <a:srgbClr val="71557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solidFill>
              <a:srgbClr val="71557B"/>
            </a:solidFill>
          </a:endParaRPr>
        </a:p>
      </xdr:txBody>
    </xdr:sp>
    <xdr:clientData/>
  </xdr:twoCellAnchor>
  <xdr:twoCellAnchor>
    <xdr:from>
      <xdr:col>7</xdr:col>
      <xdr:colOff>815008</xdr:colOff>
      <xdr:row>19</xdr:row>
      <xdr:rowOff>187343</xdr:rowOff>
    </xdr:from>
    <xdr:to>
      <xdr:col>15</xdr:col>
      <xdr:colOff>202464</xdr:colOff>
      <xdr:row>36</xdr:row>
      <xdr:rowOff>165652</xdr:rowOff>
    </xdr:to>
    <xdr:graphicFrame macro="">
      <xdr:nvGraphicFramePr>
        <xdr:cNvPr id="14" name="Bagan 13">
          <a:extLst>
            <a:ext uri="{FF2B5EF4-FFF2-40B4-BE49-F238E27FC236}">
              <a16:creationId xmlns:a16="http://schemas.microsoft.com/office/drawing/2014/main" id="{2FDE92B1-CCF7-6841-82F3-291F718DB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478550</xdr:colOff>
      <xdr:row>9</xdr:row>
      <xdr:rowOff>121720</xdr:rowOff>
    </xdr:from>
    <xdr:to>
      <xdr:col>20</xdr:col>
      <xdr:colOff>650830</xdr:colOff>
      <xdr:row>20</xdr:row>
      <xdr:rowOff>110434</xdr:rowOff>
    </xdr:to>
    <mc:AlternateContent xmlns:mc="http://schemas.openxmlformats.org/markup-compatibility/2006" xmlns:a14="http://schemas.microsoft.com/office/drawing/2010/main">
      <mc:Choice Requires="a14">
        <xdr:graphicFrame macro="">
          <xdr:nvGraphicFramePr>
            <xdr:cNvPr id="15" name="Size 1">
              <a:extLst>
                <a:ext uri="{FF2B5EF4-FFF2-40B4-BE49-F238E27FC236}">
                  <a16:creationId xmlns:a16="http://schemas.microsoft.com/office/drawing/2014/main" id="{98E26458-44AA-5246-9B93-278732805EC2}"/>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5387246" y="1943894"/>
              <a:ext cx="1828801" cy="2215815"/>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21</xdr:col>
      <xdr:colOff>55218</xdr:colOff>
      <xdr:row>9</xdr:row>
      <xdr:rowOff>158534</xdr:rowOff>
    </xdr:from>
    <xdr:to>
      <xdr:col>24</xdr:col>
      <xdr:colOff>254368</xdr:colOff>
      <xdr:row>14</xdr:row>
      <xdr:rowOff>174915</xdr:rowOff>
    </xdr:to>
    <mc:AlternateContent xmlns:mc="http://schemas.openxmlformats.org/markup-compatibility/2006" xmlns:a14="http://schemas.microsoft.com/office/drawing/2010/main">
      <mc:Choice Requires="a14">
        <xdr:graphicFrame macro="">
          <xdr:nvGraphicFramePr>
            <xdr:cNvPr id="26" name="Sales_Channel 1">
              <a:extLst>
                <a:ext uri="{FF2B5EF4-FFF2-40B4-BE49-F238E27FC236}">
                  <a16:creationId xmlns:a16="http://schemas.microsoft.com/office/drawing/2014/main" id="{6A4EBB58-8E65-6044-B7BE-5BEFDF434EEC}"/>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7448696" y="1980708"/>
              <a:ext cx="2683933" cy="102870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editAs="oneCell">
    <xdr:from>
      <xdr:col>21</xdr:col>
      <xdr:colOff>92028</xdr:colOff>
      <xdr:row>15</xdr:row>
      <xdr:rowOff>103316</xdr:rowOff>
    </xdr:from>
    <xdr:to>
      <xdr:col>24</xdr:col>
      <xdr:colOff>276086</xdr:colOff>
      <xdr:row>20</xdr:row>
      <xdr:rowOff>73623</xdr:rowOff>
    </xdr:to>
    <mc:AlternateContent xmlns:mc="http://schemas.openxmlformats.org/markup-compatibility/2006" xmlns:a14="http://schemas.microsoft.com/office/drawing/2010/main">
      <mc:Choice Requires="a14">
        <xdr:graphicFrame macro="">
          <xdr:nvGraphicFramePr>
            <xdr:cNvPr id="31" name="Customer_Type 1">
              <a:extLst>
                <a:ext uri="{FF2B5EF4-FFF2-40B4-BE49-F238E27FC236}">
                  <a16:creationId xmlns:a16="http://schemas.microsoft.com/office/drawing/2014/main" id="{A18E486F-540B-EC4C-9799-E033BF9612CA}"/>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17694228" y="3151316"/>
              <a:ext cx="2698658" cy="986307"/>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0</xdr:col>
      <xdr:colOff>184058</xdr:colOff>
      <xdr:row>40</xdr:row>
      <xdr:rowOff>128840</xdr:rowOff>
    </xdr:from>
    <xdr:to>
      <xdr:col>15</xdr:col>
      <xdr:colOff>791449</xdr:colOff>
      <xdr:row>74</xdr:row>
      <xdr:rowOff>76200</xdr:rowOff>
    </xdr:to>
    <xdr:sp macro="" textlink="">
      <xdr:nvSpPr>
        <xdr:cNvPr id="33" name="Persegi Lengkung 32">
          <a:extLst>
            <a:ext uri="{FF2B5EF4-FFF2-40B4-BE49-F238E27FC236}">
              <a16:creationId xmlns:a16="http://schemas.microsoft.com/office/drawing/2014/main" id="{77F75C28-FD41-4048-898E-68AAC21F8F5C}"/>
            </a:ext>
          </a:extLst>
        </xdr:cNvPr>
        <xdr:cNvSpPr/>
      </xdr:nvSpPr>
      <xdr:spPr>
        <a:xfrm>
          <a:off x="184058" y="8256840"/>
          <a:ext cx="13180391" cy="6856160"/>
        </a:xfrm>
        <a:prstGeom prst="roundRect">
          <a:avLst/>
        </a:prstGeom>
        <a:solidFill>
          <a:srgbClr val="3A32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1</xdr:col>
      <xdr:colOff>0</xdr:colOff>
      <xdr:row>43</xdr:row>
      <xdr:rowOff>76200</xdr:rowOff>
    </xdr:from>
    <xdr:to>
      <xdr:col>15</xdr:col>
      <xdr:colOff>55218</xdr:colOff>
      <xdr:row>71</xdr:row>
      <xdr:rowOff>50800</xdr:rowOff>
    </xdr:to>
    <xdr:graphicFrame macro="">
      <xdr:nvGraphicFramePr>
        <xdr:cNvPr id="32" name="Bagan 31">
          <a:extLst>
            <a:ext uri="{FF2B5EF4-FFF2-40B4-BE49-F238E27FC236}">
              <a16:creationId xmlns:a16="http://schemas.microsoft.com/office/drawing/2014/main" id="{3559A451-D09E-F14C-B244-236234723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689112</xdr:colOff>
      <xdr:row>22</xdr:row>
      <xdr:rowOff>36416</xdr:rowOff>
    </xdr:from>
    <xdr:to>
      <xdr:col>26</xdr:col>
      <xdr:colOff>533400</xdr:colOff>
      <xdr:row>47</xdr:row>
      <xdr:rowOff>152400</xdr:rowOff>
    </xdr:to>
    <xdr:sp macro="" textlink="">
      <xdr:nvSpPr>
        <xdr:cNvPr id="39" name="Persegi Lengkung 38">
          <a:extLst>
            <a:ext uri="{FF2B5EF4-FFF2-40B4-BE49-F238E27FC236}">
              <a16:creationId xmlns:a16="http://schemas.microsoft.com/office/drawing/2014/main" id="{75D48D4A-B9B0-1849-B4F5-8A78764AF28C}"/>
            </a:ext>
          </a:extLst>
        </xdr:cNvPr>
        <xdr:cNvSpPr/>
      </xdr:nvSpPr>
      <xdr:spPr>
        <a:xfrm>
          <a:off x="14100312" y="4506816"/>
          <a:ext cx="8226288" cy="5195984"/>
        </a:xfrm>
        <a:prstGeom prst="roundRect">
          <a:avLst/>
        </a:prstGeom>
        <a:solidFill>
          <a:srgbClr val="71557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solidFill>
              <a:srgbClr val="71557B"/>
            </a:solidFill>
          </a:endParaRPr>
        </a:p>
      </xdr:txBody>
    </xdr:sp>
    <xdr:clientData/>
  </xdr:twoCellAnchor>
  <xdr:twoCellAnchor>
    <xdr:from>
      <xdr:col>17</xdr:col>
      <xdr:colOff>228600</xdr:colOff>
      <xdr:row>23</xdr:row>
      <xdr:rowOff>152400</xdr:rowOff>
    </xdr:from>
    <xdr:to>
      <xdr:col>26</xdr:col>
      <xdr:colOff>127000</xdr:colOff>
      <xdr:row>46</xdr:row>
      <xdr:rowOff>127000</xdr:rowOff>
    </xdr:to>
    <xdr:graphicFrame macro="">
      <xdr:nvGraphicFramePr>
        <xdr:cNvPr id="38" name="Bagan 37">
          <a:extLst>
            <a:ext uri="{FF2B5EF4-FFF2-40B4-BE49-F238E27FC236}">
              <a16:creationId xmlns:a16="http://schemas.microsoft.com/office/drawing/2014/main" id="{31F13ED8-8B2E-2C48-A3DB-27E709B67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28712</xdr:colOff>
      <xdr:row>48</xdr:row>
      <xdr:rowOff>87216</xdr:rowOff>
    </xdr:from>
    <xdr:to>
      <xdr:col>26</xdr:col>
      <xdr:colOff>711200</xdr:colOff>
      <xdr:row>74</xdr:row>
      <xdr:rowOff>0</xdr:rowOff>
    </xdr:to>
    <xdr:sp macro="" textlink="">
      <xdr:nvSpPr>
        <xdr:cNvPr id="42" name="Persegi Lengkung 41">
          <a:extLst>
            <a:ext uri="{FF2B5EF4-FFF2-40B4-BE49-F238E27FC236}">
              <a16:creationId xmlns:a16="http://schemas.microsoft.com/office/drawing/2014/main" id="{3298DEB6-87F5-844E-B972-BD5FD961447A}"/>
            </a:ext>
          </a:extLst>
        </xdr:cNvPr>
        <xdr:cNvSpPr/>
      </xdr:nvSpPr>
      <xdr:spPr>
        <a:xfrm>
          <a:off x="14278112" y="9840816"/>
          <a:ext cx="8226288" cy="5195984"/>
        </a:xfrm>
        <a:prstGeom prst="roundRect">
          <a:avLst/>
        </a:prstGeom>
        <a:solidFill>
          <a:srgbClr val="71557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solidFill>
              <a:srgbClr val="71557B"/>
            </a:solidFill>
          </a:endParaRPr>
        </a:p>
      </xdr:txBody>
    </xdr:sp>
    <xdr:clientData/>
  </xdr:twoCellAnchor>
  <xdr:twoCellAnchor>
    <xdr:from>
      <xdr:col>27</xdr:col>
      <xdr:colOff>130312</xdr:colOff>
      <xdr:row>21</xdr:row>
      <xdr:rowOff>61816</xdr:rowOff>
    </xdr:from>
    <xdr:to>
      <xdr:col>33</xdr:col>
      <xdr:colOff>482600</xdr:colOff>
      <xdr:row>74</xdr:row>
      <xdr:rowOff>152400</xdr:rowOff>
    </xdr:to>
    <xdr:sp macro="" textlink="">
      <xdr:nvSpPr>
        <xdr:cNvPr id="44" name="Persegi Lengkung 43">
          <a:extLst>
            <a:ext uri="{FF2B5EF4-FFF2-40B4-BE49-F238E27FC236}">
              <a16:creationId xmlns:a16="http://schemas.microsoft.com/office/drawing/2014/main" id="{1B3A5AA8-CB27-0F48-A574-7B8341E29289}"/>
            </a:ext>
          </a:extLst>
        </xdr:cNvPr>
        <xdr:cNvSpPr/>
      </xdr:nvSpPr>
      <xdr:spPr>
        <a:xfrm>
          <a:off x="22747121" y="4601390"/>
          <a:ext cx="5378245" cy="11547606"/>
        </a:xfrm>
        <a:prstGeom prst="roundRect">
          <a:avLst/>
        </a:prstGeom>
        <a:solidFill>
          <a:srgbClr val="3A32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solidFill>
              <a:srgbClr val="71557B"/>
            </a:solidFill>
          </a:endParaRPr>
        </a:p>
      </xdr:txBody>
    </xdr:sp>
    <xdr:clientData/>
  </xdr:twoCellAnchor>
  <xdr:twoCellAnchor>
    <xdr:from>
      <xdr:col>27</xdr:col>
      <xdr:colOff>431800</xdr:colOff>
      <xdr:row>27</xdr:row>
      <xdr:rowOff>62086</xdr:rowOff>
    </xdr:from>
    <xdr:to>
      <xdr:col>33</xdr:col>
      <xdr:colOff>203200</xdr:colOff>
      <xdr:row>68</xdr:row>
      <xdr:rowOff>101599</xdr:rowOff>
    </xdr:to>
    <xdr:graphicFrame macro="">
      <xdr:nvGraphicFramePr>
        <xdr:cNvPr id="43" name="Bagan 42">
          <a:extLst>
            <a:ext uri="{FF2B5EF4-FFF2-40B4-BE49-F238E27FC236}">
              <a16:creationId xmlns:a16="http://schemas.microsoft.com/office/drawing/2014/main" id="{1DF74045-FA96-0646-84F4-0DECF166D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767474</xdr:colOff>
      <xdr:row>51</xdr:row>
      <xdr:rowOff>86135</xdr:rowOff>
    </xdr:from>
    <xdr:to>
      <xdr:col>25</xdr:col>
      <xdr:colOff>729575</xdr:colOff>
      <xdr:row>70</xdr:row>
      <xdr:rowOff>189149</xdr:rowOff>
    </xdr:to>
    <xdr:graphicFrame macro="">
      <xdr:nvGraphicFramePr>
        <xdr:cNvPr id="45" name="Bagan 44">
          <a:extLst>
            <a:ext uri="{FF2B5EF4-FFF2-40B4-BE49-F238E27FC236}">
              <a16:creationId xmlns:a16="http://schemas.microsoft.com/office/drawing/2014/main" id="{571457A7-E8D7-7F43-A92E-DF0E78189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333827</xdr:colOff>
      <xdr:row>76</xdr:row>
      <xdr:rowOff>20564</xdr:rowOff>
    </xdr:from>
    <xdr:to>
      <xdr:col>11</xdr:col>
      <xdr:colOff>757161</xdr:colOff>
      <xdr:row>85</xdr:row>
      <xdr:rowOff>181429</xdr:rowOff>
    </xdr:to>
    <xdr:sp macro="" textlink="">
      <xdr:nvSpPr>
        <xdr:cNvPr id="46" name="Kotak Teks 45">
          <a:extLst>
            <a:ext uri="{FF2B5EF4-FFF2-40B4-BE49-F238E27FC236}">
              <a16:creationId xmlns:a16="http://schemas.microsoft.com/office/drawing/2014/main" id="{5BB81629-1986-0CD7-7BDC-E473CAC3D8CE}"/>
            </a:ext>
          </a:extLst>
        </xdr:cNvPr>
        <xdr:cNvSpPr txBox="1"/>
      </xdr:nvSpPr>
      <xdr:spPr>
        <a:xfrm>
          <a:off x="333827" y="16107231"/>
          <a:ext cx="9404048" cy="20658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2800" b="1" i="0" u="none" strike="noStrike">
              <a:solidFill>
                <a:schemeClr val="dk1"/>
              </a:solidFill>
              <a:effectLst/>
              <a:latin typeface="+mn-lt"/>
              <a:ea typeface="+mn-ea"/>
              <a:cs typeface="+mn-cs"/>
            </a:rPr>
            <a:t>Insights:</a:t>
          </a:r>
          <a:br>
            <a:rPr lang="id-ID" sz="2800"/>
          </a:br>
          <a:r>
            <a:rPr lang="id-ID" sz="2800" b="0" i="0" u="none" strike="noStrike">
              <a:solidFill>
                <a:schemeClr val="dk1"/>
              </a:solidFill>
              <a:effectLst/>
              <a:latin typeface="+mn-lt"/>
              <a:ea typeface="+mn-ea"/>
              <a:cs typeface="+mn-cs"/>
            </a:rPr>
            <a:t>• Dress category contributes the highest sales volume</a:t>
          </a:r>
          <a:br>
            <a:rPr lang="id-ID" sz="2800"/>
          </a:br>
          <a:r>
            <a:rPr lang="id-ID" sz="2800" b="0" i="0" u="none" strike="noStrike">
              <a:solidFill>
                <a:schemeClr val="dk1"/>
              </a:solidFill>
              <a:effectLst/>
              <a:latin typeface="+mn-lt"/>
              <a:ea typeface="+mn-ea"/>
              <a:cs typeface="+mn-cs"/>
            </a:rPr>
            <a:t>• Sales show a positive upward trend over the last 6 months</a:t>
          </a:r>
          <a:br>
            <a:rPr lang="id-ID" sz="2800"/>
          </a:br>
          <a:r>
            <a:rPr lang="id-ID" sz="2800" b="0" i="0" u="none" strike="noStrike">
              <a:solidFill>
                <a:schemeClr val="dk1"/>
              </a:solidFill>
              <a:effectLst/>
              <a:latin typeface="+mn-lt"/>
              <a:ea typeface="+mn-ea"/>
              <a:cs typeface="+mn-cs"/>
            </a:rPr>
            <a:t>• Size M and L dominate product demand</a:t>
          </a:r>
          <a:endParaRPr lang="id-ID" sz="2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lla Salsabila" refreshedDate="46052.866235416666" createdVersion="8" refreshedVersion="8" minRefreshableVersion="3" recordCount="703" xr:uid="{26173FD8-2E74-7F41-B5FF-BD3D4A634681}">
  <cacheSource type="worksheet">
    <worksheetSource name="Tabel3"/>
  </cacheSource>
  <cacheFields count="12">
    <cacheField name="Order_ID" numFmtId="0">
      <sharedItems/>
    </cacheField>
    <cacheField name="Date" numFmtId="14">
      <sharedItems containsSemiMixedTypes="0" containsNonDate="0" containsDate="1" containsString="0" minDate="2025-01-01T00:00:00" maxDate="2025-07-01T00:00:00" count="176">
        <d v="2025-03-27T00:00:00"/>
        <d v="2025-05-17T00:00:00"/>
        <d v="2025-02-05T00:00:00"/>
        <d v="2025-05-06T00:00:00"/>
        <d v="2025-04-16T00:00:00"/>
        <d v="2025-01-25T00:00:00"/>
        <d v="2025-02-24T00:00:00"/>
        <d v="2025-06-03T00:00:00"/>
        <d v="2025-06-23T00:00:00"/>
        <d v="2025-04-10T00:00:00"/>
        <d v="2025-01-30T00:00:00"/>
        <d v="2025-03-08T00:00:00"/>
        <d v="2025-05-07T00:00:00"/>
        <d v="2025-04-14T00:00:00"/>
        <d v="2025-06-04T00:00:00"/>
        <d v="2025-05-23T00:00:00"/>
        <d v="2025-03-19T00:00:00"/>
        <d v="2025-01-02T00:00:00"/>
        <d v="2025-04-12T00:00:00"/>
        <d v="2025-02-27T00:00:00"/>
        <d v="2025-06-26T00:00:00"/>
        <d v="2025-06-18T00:00:00"/>
        <d v="2025-03-28T00:00:00"/>
        <d v="2025-02-06T00:00:00"/>
        <d v="2025-03-24T00:00:00"/>
        <d v="2025-01-05T00:00:00"/>
        <d v="2025-04-11T00:00:00"/>
        <d v="2025-06-14T00:00:00"/>
        <d v="2025-02-03T00:00:00"/>
        <d v="2025-03-25T00:00:00"/>
        <d v="2025-06-30T00:00:00"/>
        <d v="2025-06-07T00:00:00"/>
        <d v="2025-03-12T00:00:00"/>
        <d v="2025-06-13T00:00:00"/>
        <d v="2025-04-07T00:00:00"/>
        <d v="2025-06-29T00:00:00"/>
        <d v="2025-02-15T00:00:00"/>
        <d v="2025-03-02T00:00:00"/>
        <d v="2025-02-01T00:00:00"/>
        <d v="2025-02-26T00:00:00"/>
        <d v="2025-06-21T00:00:00"/>
        <d v="2025-02-09T00:00:00"/>
        <d v="2025-04-25T00:00:00"/>
        <d v="2025-02-08T00:00:00"/>
        <d v="2025-06-02T00:00:00"/>
        <d v="2025-06-12T00:00:00"/>
        <d v="2025-05-30T00:00:00"/>
        <d v="2025-06-19T00:00:00"/>
        <d v="2025-06-11T00:00:00"/>
        <d v="2025-05-09T00:00:00"/>
        <d v="2025-04-13T00:00:00"/>
        <d v="2025-02-18T00:00:00"/>
        <d v="2025-05-13T00:00:00"/>
        <d v="2025-02-11T00:00:00"/>
        <d v="2025-04-15T00:00:00"/>
        <d v="2025-04-08T00:00:00"/>
        <d v="2025-01-18T00:00:00"/>
        <d v="2025-05-24T00:00:00"/>
        <d v="2025-01-14T00:00:00"/>
        <d v="2025-01-07T00:00:00"/>
        <d v="2025-04-17T00:00:00"/>
        <d v="2025-06-09T00:00:00"/>
        <d v="2025-01-03T00:00:00"/>
        <d v="2025-05-14T00:00:00"/>
        <d v="2025-03-06T00:00:00"/>
        <d v="2025-03-18T00:00:00"/>
        <d v="2025-04-27T00:00:00"/>
        <d v="2025-02-04T00:00:00"/>
        <d v="2025-04-04T00:00:00"/>
        <d v="2025-05-11T00:00:00"/>
        <d v="2025-02-10T00:00:00"/>
        <d v="2025-01-12T00:00:00"/>
        <d v="2025-02-25T00:00:00"/>
        <d v="2025-02-02T00:00:00"/>
        <d v="2025-06-27T00:00:00"/>
        <d v="2025-04-20T00:00:00"/>
        <d v="2025-02-13T00:00:00"/>
        <d v="2025-05-01T00:00:00"/>
        <d v="2025-05-15T00:00:00"/>
        <d v="2025-01-31T00:00:00"/>
        <d v="2025-01-27T00:00:00"/>
        <d v="2025-03-16T00:00:00"/>
        <d v="2025-05-25T00:00:00"/>
        <d v="2025-03-31T00:00:00"/>
        <d v="2025-05-29T00:00:00"/>
        <d v="2025-01-22T00:00:00"/>
        <d v="2025-03-21T00:00:00"/>
        <d v="2025-02-22T00:00:00"/>
        <d v="2025-02-07T00:00:00"/>
        <d v="2025-02-19T00:00:00"/>
        <d v="2025-03-13T00:00:00"/>
        <d v="2025-04-29T00:00:00"/>
        <d v="2025-05-18T00:00:00"/>
        <d v="2025-06-15T00:00:00"/>
        <d v="2025-06-16T00:00:00"/>
        <d v="2025-01-24T00:00:00"/>
        <d v="2025-03-26T00:00:00"/>
        <d v="2025-01-23T00:00:00"/>
        <d v="2025-04-26T00:00:00"/>
        <d v="2025-04-02T00:00:00"/>
        <d v="2025-05-12T00:00:00"/>
        <d v="2025-01-29T00:00:00"/>
        <d v="2025-04-01T00:00:00"/>
        <d v="2025-01-26T00:00:00"/>
        <d v="2025-04-21T00:00:00"/>
        <d v="2025-03-15T00:00:00"/>
        <d v="2025-04-03T00:00:00"/>
        <d v="2025-06-20T00:00:00"/>
        <d v="2025-02-16T00:00:00"/>
        <d v="2025-05-05T00:00:00"/>
        <d v="2025-01-20T00:00:00"/>
        <d v="2025-04-24T00:00:00"/>
        <d v="2025-05-19T00:00:00"/>
        <d v="2025-05-27T00:00:00"/>
        <d v="2025-06-08T00:00:00"/>
        <d v="2025-04-22T00:00:00"/>
        <d v="2025-01-13T00:00:00"/>
        <d v="2025-03-20T00:00:00"/>
        <d v="2025-01-06T00:00:00"/>
        <d v="2025-03-04T00:00:00"/>
        <d v="2025-06-28T00:00:00"/>
        <d v="2025-04-06T00:00:00"/>
        <d v="2025-03-17T00:00:00"/>
        <d v="2025-06-24T00:00:00"/>
        <d v="2025-04-28T00:00:00"/>
        <d v="2025-05-28T00:00:00"/>
        <d v="2025-03-14T00:00:00"/>
        <d v="2025-01-11T00:00:00"/>
        <d v="2025-04-18T00:00:00"/>
        <d v="2025-04-05T00:00:00"/>
        <d v="2025-04-09T00:00:00"/>
        <d v="2025-01-01T00:00:00"/>
        <d v="2025-01-15T00:00:00"/>
        <d v="2025-03-05T00:00:00"/>
        <d v="2025-01-19T00:00:00"/>
        <d v="2025-03-03T00:00:00"/>
        <d v="2025-02-12T00:00:00"/>
        <d v="2025-05-16T00:00:00"/>
        <d v="2025-02-20T00:00:00"/>
        <d v="2025-02-28T00:00:00"/>
        <d v="2025-05-10T00:00:00"/>
        <d v="2025-05-02T00:00:00"/>
        <d v="2025-03-29T00:00:00"/>
        <d v="2025-02-23T00:00:00"/>
        <d v="2025-06-22T00:00:00"/>
        <d v="2025-06-05T00:00:00"/>
        <d v="2025-03-07T00:00:00"/>
        <d v="2025-01-16T00:00:00"/>
        <d v="2025-03-09T00:00:00"/>
        <d v="2025-01-08T00:00:00"/>
        <d v="2025-05-26T00:00:00"/>
        <d v="2025-04-30T00:00:00"/>
        <d v="2025-05-31T00:00:00"/>
        <d v="2025-05-20T00:00:00"/>
        <d v="2025-06-10T00:00:00"/>
        <d v="2025-01-04T00:00:00"/>
        <d v="2025-06-25T00:00:00"/>
        <d v="2025-02-21T00:00:00"/>
        <d v="2025-02-14T00:00:00"/>
        <d v="2025-05-22T00:00:00"/>
        <d v="2025-03-23T00:00:00"/>
        <d v="2025-05-08T00:00:00"/>
        <d v="2025-01-17T00:00:00"/>
        <d v="2025-06-01T00:00:00"/>
        <d v="2025-05-03T00:00:00"/>
        <d v="2025-01-10T00:00:00"/>
        <d v="2025-03-01T00:00:00"/>
        <d v="2025-04-19T00:00:00"/>
        <d v="2025-05-21T00:00:00"/>
        <d v="2025-03-11T00:00:00"/>
        <d v="2025-04-23T00:00:00"/>
        <d v="2025-06-06T00:00:00"/>
        <d v="2025-06-17T00:00:00"/>
        <d v="2025-01-09T00:00:00"/>
        <d v="2025-01-28T00:00:00"/>
        <d v="2025-01-21T00:00:00"/>
      </sharedItems>
      <fieldGroup par="11"/>
    </cacheField>
    <cacheField name="Product_Name" numFmtId="0">
      <sharedItems count="8">
        <s v="Luna Midi Dress"/>
        <s v="Hana Blouse"/>
        <s v="Rhea Blouse"/>
        <s v="Nara Cardigan"/>
        <s v="Aira Tunik"/>
        <s v="Khansa Maxi Dress"/>
        <s v="Zara Pleated Skirt"/>
        <s v="Bella Square Hijab"/>
      </sharedItems>
    </cacheField>
    <cacheField name="Category" numFmtId="0">
      <sharedItems count="6">
        <s v="Dress"/>
        <s v="Blouse"/>
        <s v="Outerwear"/>
        <s v="Tunik"/>
        <s v="Bottom"/>
        <s v="Accessories"/>
      </sharedItems>
    </cacheField>
    <cacheField name="Size" numFmtId="0">
      <sharedItems count="4">
        <s v="XL"/>
        <s v="L"/>
        <s v="M"/>
        <s v="S"/>
      </sharedItems>
    </cacheField>
    <cacheField name="Color" numFmtId="0">
      <sharedItems count="6">
        <s v="Mocca"/>
        <s v="Cream"/>
        <s v="Navy"/>
        <s v="Sage"/>
        <s v="Maroon"/>
        <s v="Black"/>
      </sharedItems>
    </cacheField>
    <cacheField name="Price" numFmtId="0">
      <sharedItems containsSemiMixedTypes="0" containsString="0" containsNumber="1" containsInteger="1" minValue="75000" maxValue="375000"/>
    </cacheField>
    <cacheField name="Quantity" numFmtId="0">
      <sharedItems containsSemiMixedTypes="0" containsString="0" containsNumber="1" containsInteger="1" minValue="1" maxValue="3"/>
    </cacheField>
    <cacheField name="Sales_Channel" numFmtId="0">
      <sharedItems count="2">
        <s v="Offline"/>
        <s v="Online"/>
      </sharedItems>
    </cacheField>
    <cacheField name="Customer_Type" numFmtId="0">
      <sharedItems count="2">
        <s v="New"/>
        <s v="Returning"/>
      </sharedItems>
    </cacheField>
    <cacheField name="Total_Sales" numFmtId="0">
      <sharedItems containsSemiMixedTypes="0" containsString="0" containsNumber="1" containsInteger="1" minValue="75000" maxValue="1125000"/>
    </cacheField>
    <cacheField name="Bulan (Date)" numFmtId="0" databaseField="0">
      <fieldGroup base="1">
        <rangePr groupBy="months" startDate="2025-01-01T00:00:00" endDate="2025-07-01T00:00:00"/>
        <groupItems count="14">
          <s v="&lt;01/01/25"/>
          <s v="Jan"/>
          <s v="Feb"/>
          <s v="Mar"/>
          <s v="Apr"/>
          <s v="Mei"/>
          <s v="Jun"/>
          <s v="Jul"/>
          <s v="Agu"/>
          <s v="Sep"/>
          <s v="Okt"/>
          <s v="Nov"/>
          <s v="Des"/>
          <s v="&gt;01/07/25"/>
        </groupItems>
      </fieldGroup>
    </cacheField>
  </cacheFields>
  <extLst>
    <ext xmlns:x14="http://schemas.microsoft.com/office/spreadsheetml/2009/9/main" uri="{725AE2AE-9491-48be-B2B4-4EB974FC3084}">
      <x14:pivotCacheDefinition pivotCacheId="805215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
  <r>
    <s v="ORD0001"/>
    <x v="0"/>
    <x v="0"/>
    <x v="0"/>
    <x v="0"/>
    <x v="0"/>
    <n v="350000"/>
    <n v="3"/>
    <x v="0"/>
    <x v="0"/>
    <n v="1050000"/>
  </r>
  <r>
    <s v="ORD0002"/>
    <x v="1"/>
    <x v="1"/>
    <x v="1"/>
    <x v="1"/>
    <x v="1"/>
    <n v="225000"/>
    <n v="2"/>
    <x v="0"/>
    <x v="0"/>
    <n v="450000"/>
  </r>
  <r>
    <s v="ORD0003"/>
    <x v="2"/>
    <x v="2"/>
    <x v="1"/>
    <x v="0"/>
    <x v="2"/>
    <n v="240000"/>
    <n v="1"/>
    <x v="0"/>
    <x v="0"/>
    <n v="240000"/>
  </r>
  <r>
    <s v="ORD0004"/>
    <x v="3"/>
    <x v="3"/>
    <x v="2"/>
    <x v="2"/>
    <x v="1"/>
    <n v="300000"/>
    <n v="3"/>
    <x v="0"/>
    <x v="1"/>
    <n v="900000"/>
  </r>
  <r>
    <s v="ORD0005"/>
    <x v="4"/>
    <x v="4"/>
    <x v="3"/>
    <x v="1"/>
    <x v="0"/>
    <n v="275000"/>
    <n v="1"/>
    <x v="1"/>
    <x v="0"/>
    <n v="275000"/>
  </r>
  <r>
    <s v="ORD0006"/>
    <x v="5"/>
    <x v="3"/>
    <x v="2"/>
    <x v="2"/>
    <x v="3"/>
    <n v="300000"/>
    <n v="2"/>
    <x v="1"/>
    <x v="1"/>
    <n v="600000"/>
  </r>
  <r>
    <s v="ORD0007"/>
    <x v="6"/>
    <x v="5"/>
    <x v="0"/>
    <x v="0"/>
    <x v="1"/>
    <n v="375000"/>
    <n v="1"/>
    <x v="0"/>
    <x v="0"/>
    <n v="375000"/>
  </r>
  <r>
    <s v="ORD0008"/>
    <x v="7"/>
    <x v="1"/>
    <x v="1"/>
    <x v="1"/>
    <x v="2"/>
    <n v="225000"/>
    <n v="3"/>
    <x v="1"/>
    <x v="1"/>
    <n v="675000"/>
  </r>
  <r>
    <s v="ORD0009"/>
    <x v="8"/>
    <x v="2"/>
    <x v="1"/>
    <x v="0"/>
    <x v="4"/>
    <n v="240000"/>
    <n v="2"/>
    <x v="1"/>
    <x v="1"/>
    <n v="480000"/>
  </r>
  <r>
    <s v="ORD0010"/>
    <x v="9"/>
    <x v="5"/>
    <x v="0"/>
    <x v="3"/>
    <x v="3"/>
    <n v="375000"/>
    <n v="1"/>
    <x v="1"/>
    <x v="1"/>
    <n v="375000"/>
  </r>
  <r>
    <s v="ORD0011"/>
    <x v="10"/>
    <x v="2"/>
    <x v="1"/>
    <x v="3"/>
    <x v="0"/>
    <n v="240000"/>
    <n v="2"/>
    <x v="0"/>
    <x v="1"/>
    <n v="480000"/>
  </r>
  <r>
    <s v="ORD0012"/>
    <x v="11"/>
    <x v="3"/>
    <x v="2"/>
    <x v="3"/>
    <x v="4"/>
    <n v="300000"/>
    <n v="2"/>
    <x v="0"/>
    <x v="1"/>
    <n v="600000"/>
  </r>
  <r>
    <s v="ORD0013"/>
    <x v="12"/>
    <x v="4"/>
    <x v="3"/>
    <x v="0"/>
    <x v="0"/>
    <n v="275000"/>
    <n v="2"/>
    <x v="1"/>
    <x v="0"/>
    <n v="550000"/>
  </r>
  <r>
    <s v="ORD0014"/>
    <x v="13"/>
    <x v="3"/>
    <x v="2"/>
    <x v="0"/>
    <x v="4"/>
    <n v="300000"/>
    <n v="1"/>
    <x v="0"/>
    <x v="0"/>
    <n v="300000"/>
  </r>
  <r>
    <s v="ORD0015"/>
    <x v="14"/>
    <x v="6"/>
    <x v="4"/>
    <x v="1"/>
    <x v="3"/>
    <n v="250000"/>
    <n v="3"/>
    <x v="1"/>
    <x v="1"/>
    <n v="750000"/>
  </r>
  <r>
    <s v="ORD0016"/>
    <x v="15"/>
    <x v="3"/>
    <x v="2"/>
    <x v="2"/>
    <x v="0"/>
    <n v="300000"/>
    <n v="3"/>
    <x v="1"/>
    <x v="1"/>
    <n v="900000"/>
  </r>
  <r>
    <s v="ORD0017"/>
    <x v="16"/>
    <x v="2"/>
    <x v="1"/>
    <x v="0"/>
    <x v="1"/>
    <n v="240000"/>
    <n v="3"/>
    <x v="1"/>
    <x v="1"/>
    <n v="720000"/>
  </r>
  <r>
    <s v="ORD0018"/>
    <x v="17"/>
    <x v="4"/>
    <x v="3"/>
    <x v="3"/>
    <x v="3"/>
    <n v="275000"/>
    <n v="2"/>
    <x v="0"/>
    <x v="1"/>
    <n v="550000"/>
  </r>
  <r>
    <s v="ORD0019"/>
    <x v="18"/>
    <x v="7"/>
    <x v="5"/>
    <x v="1"/>
    <x v="0"/>
    <n v="75000"/>
    <n v="3"/>
    <x v="0"/>
    <x v="0"/>
    <n v="225000"/>
  </r>
  <r>
    <s v="ORD0020"/>
    <x v="19"/>
    <x v="6"/>
    <x v="4"/>
    <x v="1"/>
    <x v="2"/>
    <n v="250000"/>
    <n v="1"/>
    <x v="1"/>
    <x v="0"/>
    <n v="250000"/>
  </r>
  <r>
    <s v="ORD0021"/>
    <x v="20"/>
    <x v="6"/>
    <x v="4"/>
    <x v="1"/>
    <x v="1"/>
    <n v="250000"/>
    <n v="2"/>
    <x v="1"/>
    <x v="0"/>
    <n v="500000"/>
  </r>
  <r>
    <s v="ORD0022"/>
    <x v="21"/>
    <x v="2"/>
    <x v="1"/>
    <x v="0"/>
    <x v="5"/>
    <n v="240000"/>
    <n v="2"/>
    <x v="0"/>
    <x v="1"/>
    <n v="480000"/>
  </r>
  <r>
    <s v="ORD0023"/>
    <x v="22"/>
    <x v="1"/>
    <x v="1"/>
    <x v="0"/>
    <x v="0"/>
    <n v="225000"/>
    <n v="3"/>
    <x v="0"/>
    <x v="1"/>
    <n v="675000"/>
  </r>
  <r>
    <s v="ORD0024"/>
    <x v="23"/>
    <x v="3"/>
    <x v="2"/>
    <x v="1"/>
    <x v="3"/>
    <n v="300000"/>
    <n v="2"/>
    <x v="1"/>
    <x v="1"/>
    <n v="600000"/>
  </r>
  <r>
    <s v="ORD0025"/>
    <x v="24"/>
    <x v="7"/>
    <x v="5"/>
    <x v="0"/>
    <x v="0"/>
    <n v="75000"/>
    <n v="1"/>
    <x v="1"/>
    <x v="0"/>
    <n v="75000"/>
  </r>
  <r>
    <s v="ORD0026"/>
    <x v="1"/>
    <x v="4"/>
    <x v="3"/>
    <x v="3"/>
    <x v="2"/>
    <n v="275000"/>
    <n v="1"/>
    <x v="1"/>
    <x v="0"/>
    <n v="275000"/>
  </r>
  <r>
    <s v="ORD0027"/>
    <x v="25"/>
    <x v="5"/>
    <x v="0"/>
    <x v="1"/>
    <x v="2"/>
    <n v="375000"/>
    <n v="2"/>
    <x v="1"/>
    <x v="0"/>
    <n v="750000"/>
  </r>
  <r>
    <s v="ORD0028"/>
    <x v="26"/>
    <x v="6"/>
    <x v="4"/>
    <x v="3"/>
    <x v="2"/>
    <n v="250000"/>
    <n v="3"/>
    <x v="1"/>
    <x v="0"/>
    <n v="750000"/>
  </r>
  <r>
    <s v="ORD0029"/>
    <x v="27"/>
    <x v="7"/>
    <x v="5"/>
    <x v="0"/>
    <x v="1"/>
    <n v="75000"/>
    <n v="3"/>
    <x v="0"/>
    <x v="0"/>
    <n v="225000"/>
  </r>
  <r>
    <s v="ORD0030"/>
    <x v="28"/>
    <x v="1"/>
    <x v="1"/>
    <x v="2"/>
    <x v="4"/>
    <n v="225000"/>
    <n v="3"/>
    <x v="1"/>
    <x v="1"/>
    <n v="675000"/>
  </r>
  <r>
    <s v="ORD0031"/>
    <x v="29"/>
    <x v="0"/>
    <x v="0"/>
    <x v="3"/>
    <x v="0"/>
    <n v="350000"/>
    <n v="2"/>
    <x v="0"/>
    <x v="0"/>
    <n v="700000"/>
  </r>
  <r>
    <s v="ORD0032"/>
    <x v="30"/>
    <x v="5"/>
    <x v="0"/>
    <x v="0"/>
    <x v="0"/>
    <n v="375000"/>
    <n v="3"/>
    <x v="0"/>
    <x v="0"/>
    <n v="1125000"/>
  </r>
  <r>
    <s v="ORD0033"/>
    <x v="31"/>
    <x v="1"/>
    <x v="1"/>
    <x v="2"/>
    <x v="0"/>
    <n v="225000"/>
    <n v="1"/>
    <x v="0"/>
    <x v="1"/>
    <n v="225000"/>
  </r>
  <r>
    <s v="ORD0034"/>
    <x v="32"/>
    <x v="3"/>
    <x v="2"/>
    <x v="0"/>
    <x v="2"/>
    <n v="300000"/>
    <n v="1"/>
    <x v="1"/>
    <x v="1"/>
    <n v="300000"/>
  </r>
  <r>
    <s v="ORD0035"/>
    <x v="33"/>
    <x v="3"/>
    <x v="2"/>
    <x v="1"/>
    <x v="2"/>
    <n v="300000"/>
    <n v="1"/>
    <x v="0"/>
    <x v="1"/>
    <n v="300000"/>
  </r>
  <r>
    <s v="ORD0036"/>
    <x v="29"/>
    <x v="2"/>
    <x v="1"/>
    <x v="1"/>
    <x v="5"/>
    <n v="240000"/>
    <n v="2"/>
    <x v="1"/>
    <x v="1"/>
    <n v="480000"/>
  </r>
  <r>
    <s v="ORD0037"/>
    <x v="34"/>
    <x v="5"/>
    <x v="0"/>
    <x v="3"/>
    <x v="0"/>
    <n v="375000"/>
    <n v="2"/>
    <x v="0"/>
    <x v="0"/>
    <n v="750000"/>
  </r>
  <r>
    <s v="ORD0038"/>
    <x v="35"/>
    <x v="4"/>
    <x v="3"/>
    <x v="1"/>
    <x v="0"/>
    <n v="275000"/>
    <n v="2"/>
    <x v="0"/>
    <x v="0"/>
    <n v="550000"/>
  </r>
  <r>
    <s v="ORD0039"/>
    <x v="36"/>
    <x v="2"/>
    <x v="1"/>
    <x v="2"/>
    <x v="4"/>
    <n v="240000"/>
    <n v="3"/>
    <x v="1"/>
    <x v="1"/>
    <n v="720000"/>
  </r>
  <r>
    <s v="ORD0040"/>
    <x v="37"/>
    <x v="2"/>
    <x v="1"/>
    <x v="3"/>
    <x v="1"/>
    <n v="240000"/>
    <n v="3"/>
    <x v="0"/>
    <x v="1"/>
    <n v="720000"/>
  </r>
  <r>
    <s v="ORD0041"/>
    <x v="38"/>
    <x v="2"/>
    <x v="1"/>
    <x v="3"/>
    <x v="5"/>
    <n v="240000"/>
    <n v="3"/>
    <x v="0"/>
    <x v="0"/>
    <n v="720000"/>
  </r>
  <r>
    <s v="ORD0042"/>
    <x v="39"/>
    <x v="5"/>
    <x v="0"/>
    <x v="3"/>
    <x v="1"/>
    <n v="375000"/>
    <n v="3"/>
    <x v="0"/>
    <x v="1"/>
    <n v="1125000"/>
  </r>
  <r>
    <s v="ORD0043"/>
    <x v="14"/>
    <x v="7"/>
    <x v="5"/>
    <x v="0"/>
    <x v="0"/>
    <n v="75000"/>
    <n v="3"/>
    <x v="1"/>
    <x v="1"/>
    <n v="225000"/>
  </r>
  <r>
    <s v="ORD0044"/>
    <x v="40"/>
    <x v="0"/>
    <x v="0"/>
    <x v="3"/>
    <x v="1"/>
    <n v="350000"/>
    <n v="3"/>
    <x v="0"/>
    <x v="0"/>
    <n v="1050000"/>
  </r>
  <r>
    <s v="ORD0045"/>
    <x v="41"/>
    <x v="1"/>
    <x v="1"/>
    <x v="3"/>
    <x v="0"/>
    <n v="225000"/>
    <n v="3"/>
    <x v="0"/>
    <x v="0"/>
    <n v="675000"/>
  </r>
  <r>
    <s v="ORD0046"/>
    <x v="10"/>
    <x v="2"/>
    <x v="1"/>
    <x v="3"/>
    <x v="0"/>
    <n v="240000"/>
    <n v="1"/>
    <x v="1"/>
    <x v="1"/>
    <n v="240000"/>
  </r>
  <r>
    <s v="ORD0047"/>
    <x v="42"/>
    <x v="2"/>
    <x v="1"/>
    <x v="1"/>
    <x v="5"/>
    <n v="240000"/>
    <n v="1"/>
    <x v="1"/>
    <x v="1"/>
    <n v="240000"/>
  </r>
  <r>
    <s v="ORD0048"/>
    <x v="43"/>
    <x v="3"/>
    <x v="2"/>
    <x v="1"/>
    <x v="4"/>
    <n v="300000"/>
    <n v="3"/>
    <x v="0"/>
    <x v="0"/>
    <n v="900000"/>
  </r>
  <r>
    <s v="ORD0049"/>
    <x v="44"/>
    <x v="2"/>
    <x v="1"/>
    <x v="3"/>
    <x v="3"/>
    <n v="240000"/>
    <n v="1"/>
    <x v="1"/>
    <x v="0"/>
    <n v="240000"/>
  </r>
  <r>
    <s v="ORD0050"/>
    <x v="6"/>
    <x v="6"/>
    <x v="4"/>
    <x v="2"/>
    <x v="3"/>
    <n v="250000"/>
    <n v="1"/>
    <x v="0"/>
    <x v="1"/>
    <n v="250000"/>
  </r>
  <r>
    <s v="ORD0051"/>
    <x v="45"/>
    <x v="0"/>
    <x v="0"/>
    <x v="3"/>
    <x v="2"/>
    <n v="350000"/>
    <n v="1"/>
    <x v="0"/>
    <x v="0"/>
    <n v="350000"/>
  </r>
  <r>
    <s v="ORD0052"/>
    <x v="46"/>
    <x v="3"/>
    <x v="2"/>
    <x v="2"/>
    <x v="5"/>
    <n v="300000"/>
    <n v="1"/>
    <x v="1"/>
    <x v="1"/>
    <n v="300000"/>
  </r>
  <r>
    <s v="ORD0053"/>
    <x v="47"/>
    <x v="5"/>
    <x v="0"/>
    <x v="0"/>
    <x v="4"/>
    <n v="375000"/>
    <n v="1"/>
    <x v="1"/>
    <x v="0"/>
    <n v="375000"/>
  </r>
  <r>
    <s v="ORD0054"/>
    <x v="48"/>
    <x v="6"/>
    <x v="4"/>
    <x v="3"/>
    <x v="0"/>
    <n v="250000"/>
    <n v="2"/>
    <x v="0"/>
    <x v="1"/>
    <n v="500000"/>
  </r>
  <r>
    <s v="ORD0055"/>
    <x v="49"/>
    <x v="1"/>
    <x v="1"/>
    <x v="2"/>
    <x v="3"/>
    <n v="225000"/>
    <n v="3"/>
    <x v="1"/>
    <x v="1"/>
    <n v="675000"/>
  </r>
  <r>
    <s v="ORD0056"/>
    <x v="50"/>
    <x v="0"/>
    <x v="0"/>
    <x v="0"/>
    <x v="3"/>
    <n v="350000"/>
    <n v="3"/>
    <x v="0"/>
    <x v="1"/>
    <n v="1050000"/>
  </r>
  <r>
    <s v="ORD0057"/>
    <x v="51"/>
    <x v="6"/>
    <x v="4"/>
    <x v="0"/>
    <x v="0"/>
    <n v="250000"/>
    <n v="1"/>
    <x v="0"/>
    <x v="0"/>
    <n v="250000"/>
  </r>
  <r>
    <s v="ORD0058"/>
    <x v="52"/>
    <x v="0"/>
    <x v="0"/>
    <x v="1"/>
    <x v="3"/>
    <n v="350000"/>
    <n v="1"/>
    <x v="1"/>
    <x v="1"/>
    <n v="350000"/>
  </r>
  <r>
    <s v="ORD0059"/>
    <x v="53"/>
    <x v="0"/>
    <x v="0"/>
    <x v="3"/>
    <x v="5"/>
    <n v="350000"/>
    <n v="3"/>
    <x v="1"/>
    <x v="0"/>
    <n v="1050000"/>
  </r>
  <r>
    <s v="ORD0060"/>
    <x v="54"/>
    <x v="2"/>
    <x v="1"/>
    <x v="2"/>
    <x v="2"/>
    <n v="240000"/>
    <n v="2"/>
    <x v="1"/>
    <x v="0"/>
    <n v="480000"/>
  </r>
  <r>
    <s v="ORD0061"/>
    <x v="55"/>
    <x v="6"/>
    <x v="4"/>
    <x v="2"/>
    <x v="0"/>
    <n v="250000"/>
    <n v="2"/>
    <x v="1"/>
    <x v="1"/>
    <n v="500000"/>
  </r>
  <r>
    <s v="ORD0062"/>
    <x v="21"/>
    <x v="3"/>
    <x v="2"/>
    <x v="1"/>
    <x v="2"/>
    <n v="300000"/>
    <n v="1"/>
    <x v="0"/>
    <x v="0"/>
    <n v="300000"/>
  </r>
  <r>
    <s v="ORD0063"/>
    <x v="56"/>
    <x v="7"/>
    <x v="5"/>
    <x v="0"/>
    <x v="4"/>
    <n v="75000"/>
    <n v="3"/>
    <x v="0"/>
    <x v="0"/>
    <n v="225000"/>
  </r>
  <r>
    <s v="ORD0064"/>
    <x v="57"/>
    <x v="0"/>
    <x v="0"/>
    <x v="0"/>
    <x v="1"/>
    <n v="350000"/>
    <n v="1"/>
    <x v="1"/>
    <x v="1"/>
    <n v="350000"/>
  </r>
  <r>
    <s v="ORD0065"/>
    <x v="39"/>
    <x v="3"/>
    <x v="2"/>
    <x v="1"/>
    <x v="1"/>
    <n v="300000"/>
    <n v="2"/>
    <x v="0"/>
    <x v="1"/>
    <n v="600000"/>
  </r>
  <r>
    <s v="ORD0066"/>
    <x v="58"/>
    <x v="1"/>
    <x v="1"/>
    <x v="2"/>
    <x v="5"/>
    <n v="225000"/>
    <n v="2"/>
    <x v="1"/>
    <x v="1"/>
    <n v="450000"/>
  </r>
  <r>
    <s v="ORD0067"/>
    <x v="59"/>
    <x v="0"/>
    <x v="0"/>
    <x v="3"/>
    <x v="4"/>
    <n v="350000"/>
    <n v="3"/>
    <x v="1"/>
    <x v="1"/>
    <n v="1050000"/>
  </r>
  <r>
    <s v="ORD0068"/>
    <x v="60"/>
    <x v="4"/>
    <x v="3"/>
    <x v="3"/>
    <x v="4"/>
    <n v="275000"/>
    <n v="1"/>
    <x v="0"/>
    <x v="0"/>
    <n v="275000"/>
  </r>
  <r>
    <s v="ORD0069"/>
    <x v="61"/>
    <x v="3"/>
    <x v="2"/>
    <x v="0"/>
    <x v="0"/>
    <n v="300000"/>
    <n v="1"/>
    <x v="0"/>
    <x v="1"/>
    <n v="300000"/>
  </r>
  <r>
    <s v="ORD0070"/>
    <x v="62"/>
    <x v="5"/>
    <x v="0"/>
    <x v="1"/>
    <x v="4"/>
    <n v="375000"/>
    <n v="1"/>
    <x v="1"/>
    <x v="1"/>
    <n v="375000"/>
  </r>
  <r>
    <s v="ORD0071"/>
    <x v="63"/>
    <x v="0"/>
    <x v="0"/>
    <x v="2"/>
    <x v="5"/>
    <n v="350000"/>
    <n v="1"/>
    <x v="0"/>
    <x v="1"/>
    <n v="350000"/>
  </r>
  <r>
    <s v="ORD0072"/>
    <x v="64"/>
    <x v="4"/>
    <x v="3"/>
    <x v="3"/>
    <x v="1"/>
    <n v="275000"/>
    <n v="1"/>
    <x v="0"/>
    <x v="0"/>
    <n v="275000"/>
  </r>
  <r>
    <s v="ORD0073"/>
    <x v="65"/>
    <x v="3"/>
    <x v="2"/>
    <x v="0"/>
    <x v="3"/>
    <n v="300000"/>
    <n v="1"/>
    <x v="1"/>
    <x v="1"/>
    <n v="300000"/>
  </r>
  <r>
    <s v="ORD0074"/>
    <x v="4"/>
    <x v="3"/>
    <x v="2"/>
    <x v="0"/>
    <x v="2"/>
    <n v="300000"/>
    <n v="3"/>
    <x v="0"/>
    <x v="1"/>
    <n v="900000"/>
  </r>
  <r>
    <s v="ORD0075"/>
    <x v="66"/>
    <x v="2"/>
    <x v="1"/>
    <x v="1"/>
    <x v="1"/>
    <n v="240000"/>
    <n v="1"/>
    <x v="0"/>
    <x v="0"/>
    <n v="240000"/>
  </r>
  <r>
    <s v="ORD0076"/>
    <x v="67"/>
    <x v="5"/>
    <x v="0"/>
    <x v="1"/>
    <x v="1"/>
    <n v="375000"/>
    <n v="3"/>
    <x v="1"/>
    <x v="0"/>
    <n v="1125000"/>
  </r>
  <r>
    <s v="ORD0077"/>
    <x v="2"/>
    <x v="3"/>
    <x v="2"/>
    <x v="0"/>
    <x v="0"/>
    <n v="300000"/>
    <n v="1"/>
    <x v="1"/>
    <x v="1"/>
    <n v="300000"/>
  </r>
  <r>
    <s v="ORD0078"/>
    <x v="68"/>
    <x v="0"/>
    <x v="0"/>
    <x v="0"/>
    <x v="2"/>
    <n v="350000"/>
    <n v="2"/>
    <x v="0"/>
    <x v="1"/>
    <n v="700000"/>
  </r>
  <r>
    <s v="ORD0079"/>
    <x v="52"/>
    <x v="3"/>
    <x v="2"/>
    <x v="3"/>
    <x v="2"/>
    <n v="300000"/>
    <n v="2"/>
    <x v="0"/>
    <x v="1"/>
    <n v="600000"/>
  </r>
  <r>
    <s v="ORD0080"/>
    <x v="19"/>
    <x v="0"/>
    <x v="0"/>
    <x v="0"/>
    <x v="5"/>
    <n v="350000"/>
    <n v="3"/>
    <x v="1"/>
    <x v="1"/>
    <n v="1050000"/>
  </r>
  <r>
    <s v="ORD0081"/>
    <x v="69"/>
    <x v="5"/>
    <x v="0"/>
    <x v="1"/>
    <x v="5"/>
    <n v="375000"/>
    <n v="3"/>
    <x v="1"/>
    <x v="0"/>
    <n v="1125000"/>
  </r>
  <r>
    <s v="ORD0082"/>
    <x v="70"/>
    <x v="4"/>
    <x v="3"/>
    <x v="3"/>
    <x v="4"/>
    <n v="275000"/>
    <n v="3"/>
    <x v="0"/>
    <x v="1"/>
    <n v="825000"/>
  </r>
  <r>
    <s v="ORD0083"/>
    <x v="70"/>
    <x v="1"/>
    <x v="1"/>
    <x v="3"/>
    <x v="1"/>
    <n v="225000"/>
    <n v="3"/>
    <x v="0"/>
    <x v="1"/>
    <n v="675000"/>
  </r>
  <r>
    <s v="ORD0084"/>
    <x v="26"/>
    <x v="2"/>
    <x v="1"/>
    <x v="2"/>
    <x v="5"/>
    <n v="240000"/>
    <n v="3"/>
    <x v="0"/>
    <x v="0"/>
    <n v="720000"/>
  </r>
  <r>
    <s v="ORD0085"/>
    <x v="71"/>
    <x v="1"/>
    <x v="1"/>
    <x v="3"/>
    <x v="2"/>
    <n v="225000"/>
    <n v="2"/>
    <x v="0"/>
    <x v="0"/>
    <n v="450000"/>
  </r>
  <r>
    <s v="ORD0086"/>
    <x v="71"/>
    <x v="0"/>
    <x v="0"/>
    <x v="1"/>
    <x v="0"/>
    <n v="350000"/>
    <n v="1"/>
    <x v="1"/>
    <x v="1"/>
    <n v="350000"/>
  </r>
  <r>
    <s v="ORD0087"/>
    <x v="29"/>
    <x v="2"/>
    <x v="1"/>
    <x v="1"/>
    <x v="2"/>
    <n v="240000"/>
    <n v="1"/>
    <x v="0"/>
    <x v="0"/>
    <n v="240000"/>
  </r>
  <r>
    <s v="ORD0088"/>
    <x v="54"/>
    <x v="0"/>
    <x v="0"/>
    <x v="1"/>
    <x v="2"/>
    <n v="350000"/>
    <n v="3"/>
    <x v="0"/>
    <x v="0"/>
    <n v="1050000"/>
  </r>
  <r>
    <s v="ORD0089"/>
    <x v="35"/>
    <x v="5"/>
    <x v="0"/>
    <x v="0"/>
    <x v="3"/>
    <n v="375000"/>
    <n v="3"/>
    <x v="0"/>
    <x v="0"/>
    <n v="1125000"/>
  </r>
  <r>
    <s v="ORD0090"/>
    <x v="72"/>
    <x v="4"/>
    <x v="3"/>
    <x v="1"/>
    <x v="1"/>
    <n v="275000"/>
    <n v="1"/>
    <x v="0"/>
    <x v="0"/>
    <n v="275000"/>
  </r>
  <r>
    <s v="ORD0091"/>
    <x v="54"/>
    <x v="4"/>
    <x v="3"/>
    <x v="1"/>
    <x v="3"/>
    <n v="275000"/>
    <n v="1"/>
    <x v="0"/>
    <x v="1"/>
    <n v="275000"/>
  </r>
  <r>
    <s v="ORD0092"/>
    <x v="73"/>
    <x v="0"/>
    <x v="0"/>
    <x v="2"/>
    <x v="0"/>
    <n v="350000"/>
    <n v="3"/>
    <x v="1"/>
    <x v="0"/>
    <n v="1050000"/>
  </r>
  <r>
    <s v="ORD0093"/>
    <x v="74"/>
    <x v="4"/>
    <x v="3"/>
    <x v="0"/>
    <x v="1"/>
    <n v="275000"/>
    <n v="2"/>
    <x v="1"/>
    <x v="1"/>
    <n v="550000"/>
  </r>
  <r>
    <s v="ORD0094"/>
    <x v="2"/>
    <x v="4"/>
    <x v="3"/>
    <x v="2"/>
    <x v="3"/>
    <n v="275000"/>
    <n v="2"/>
    <x v="1"/>
    <x v="0"/>
    <n v="550000"/>
  </r>
  <r>
    <s v="ORD0095"/>
    <x v="75"/>
    <x v="2"/>
    <x v="1"/>
    <x v="3"/>
    <x v="2"/>
    <n v="240000"/>
    <n v="1"/>
    <x v="1"/>
    <x v="0"/>
    <n v="240000"/>
  </r>
  <r>
    <s v="ORD0096"/>
    <x v="76"/>
    <x v="1"/>
    <x v="1"/>
    <x v="1"/>
    <x v="2"/>
    <n v="225000"/>
    <n v="2"/>
    <x v="0"/>
    <x v="1"/>
    <n v="450000"/>
  </r>
  <r>
    <s v="ORD0097"/>
    <x v="77"/>
    <x v="0"/>
    <x v="0"/>
    <x v="1"/>
    <x v="1"/>
    <n v="350000"/>
    <n v="2"/>
    <x v="1"/>
    <x v="1"/>
    <n v="700000"/>
  </r>
  <r>
    <s v="ORD0098"/>
    <x v="78"/>
    <x v="3"/>
    <x v="2"/>
    <x v="3"/>
    <x v="3"/>
    <n v="300000"/>
    <n v="3"/>
    <x v="1"/>
    <x v="0"/>
    <n v="900000"/>
  </r>
  <r>
    <s v="ORD0099"/>
    <x v="70"/>
    <x v="0"/>
    <x v="0"/>
    <x v="2"/>
    <x v="2"/>
    <n v="350000"/>
    <n v="1"/>
    <x v="1"/>
    <x v="1"/>
    <n v="350000"/>
  </r>
  <r>
    <s v="ORD0100"/>
    <x v="79"/>
    <x v="5"/>
    <x v="0"/>
    <x v="0"/>
    <x v="2"/>
    <n v="375000"/>
    <n v="3"/>
    <x v="0"/>
    <x v="1"/>
    <n v="1125000"/>
  </r>
  <r>
    <s v="ORD0101"/>
    <x v="70"/>
    <x v="3"/>
    <x v="2"/>
    <x v="3"/>
    <x v="1"/>
    <n v="300000"/>
    <n v="1"/>
    <x v="1"/>
    <x v="0"/>
    <n v="300000"/>
  </r>
  <r>
    <s v="ORD0102"/>
    <x v="80"/>
    <x v="1"/>
    <x v="1"/>
    <x v="2"/>
    <x v="2"/>
    <n v="225000"/>
    <n v="2"/>
    <x v="0"/>
    <x v="0"/>
    <n v="450000"/>
  </r>
  <r>
    <s v="ORD0103"/>
    <x v="81"/>
    <x v="2"/>
    <x v="1"/>
    <x v="2"/>
    <x v="1"/>
    <n v="240000"/>
    <n v="2"/>
    <x v="0"/>
    <x v="1"/>
    <n v="480000"/>
  </r>
  <r>
    <s v="ORD0104"/>
    <x v="82"/>
    <x v="0"/>
    <x v="0"/>
    <x v="0"/>
    <x v="4"/>
    <n v="350000"/>
    <n v="1"/>
    <x v="0"/>
    <x v="0"/>
    <n v="350000"/>
  </r>
  <r>
    <s v="ORD0105"/>
    <x v="40"/>
    <x v="5"/>
    <x v="0"/>
    <x v="2"/>
    <x v="5"/>
    <n v="375000"/>
    <n v="2"/>
    <x v="1"/>
    <x v="0"/>
    <n v="750000"/>
  </r>
  <r>
    <s v="ORD0106"/>
    <x v="12"/>
    <x v="5"/>
    <x v="0"/>
    <x v="2"/>
    <x v="3"/>
    <n v="375000"/>
    <n v="3"/>
    <x v="0"/>
    <x v="0"/>
    <n v="1125000"/>
  </r>
  <r>
    <s v="ORD0107"/>
    <x v="83"/>
    <x v="2"/>
    <x v="1"/>
    <x v="0"/>
    <x v="5"/>
    <n v="240000"/>
    <n v="1"/>
    <x v="1"/>
    <x v="1"/>
    <n v="240000"/>
  </r>
  <r>
    <s v="ORD0108"/>
    <x v="84"/>
    <x v="4"/>
    <x v="3"/>
    <x v="2"/>
    <x v="3"/>
    <n v="275000"/>
    <n v="1"/>
    <x v="0"/>
    <x v="0"/>
    <n v="275000"/>
  </r>
  <r>
    <s v="ORD0109"/>
    <x v="67"/>
    <x v="3"/>
    <x v="2"/>
    <x v="2"/>
    <x v="4"/>
    <n v="300000"/>
    <n v="2"/>
    <x v="0"/>
    <x v="1"/>
    <n v="600000"/>
  </r>
  <r>
    <s v="ORD0110"/>
    <x v="85"/>
    <x v="6"/>
    <x v="4"/>
    <x v="3"/>
    <x v="2"/>
    <n v="250000"/>
    <n v="2"/>
    <x v="1"/>
    <x v="0"/>
    <n v="500000"/>
  </r>
  <r>
    <s v="ORD0111"/>
    <x v="86"/>
    <x v="1"/>
    <x v="1"/>
    <x v="3"/>
    <x v="2"/>
    <n v="225000"/>
    <n v="1"/>
    <x v="0"/>
    <x v="0"/>
    <n v="225000"/>
  </r>
  <r>
    <s v="ORD0112"/>
    <x v="87"/>
    <x v="7"/>
    <x v="5"/>
    <x v="0"/>
    <x v="3"/>
    <n v="75000"/>
    <n v="1"/>
    <x v="1"/>
    <x v="1"/>
    <n v="75000"/>
  </r>
  <r>
    <s v="ORD0113"/>
    <x v="87"/>
    <x v="0"/>
    <x v="0"/>
    <x v="1"/>
    <x v="5"/>
    <n v="350000"/>
    <n v="3"/>
    <x v="0"/>
    <x v="0"/>
    <n v="1050000"/>
  </r>
  <r>
    <s v="ORD0114"/>
    <x v="35"/>
    <x v="1"/>
    <x v="1"/>
    <x v="0"/>
    <x v="3"/>
    <n v="225000"/>
    <n v="1"/>
    <x v="1"/>
    <x v="0"/>
    <n v="225000"/>
  </r>
  <r>
    <s v="ORD0115"/>
    <x v="88"/>
    <x v="3"/>
    <x v="2"/>
    <x v="0"/>
    <x v="1"/>
    <n v="300000"/>
    <n v="1"/>
    <x v="1"/>
    <x v="1"/>
    <n v="300000"/>
  </r>
  <r>
    <s v="ORD0116"/>
    <x v="89"/>
    <x v="4"/>
    <x v="3"/>
    <x v="1"/>
    <x v="4"/>
    <n v="275000"/>
    <n v="2"/>
    <x v="1"/>
    <x v="0"/>
    <n v="550000"/>
  </r>
  <r>
    <s v="ORD0117"/>
    <x v="90"/>
    <x v="5"/>
    <x v="0"/>
    <x v="3"/>
    <x v="4"/>
    <n v="375000"/>
    <n v="1"/>
    <x v="0"/>
    <x v="1"/>
    <n v="375000"/>
  </r>
  <r>
    <s v="ORD0118"/>
    <x v="73"/>
    <x v="3"/>
    <x v="2"/>
    <x v="3"/>
    <x v="1"/>
    <n v="300000"/>
    <n v="2"/>
    <x v="1"/>
    <x v="0"/>
    <n v="600000"/>
  </r>
  <r>
    <s v="ORD0119"/>
    <x v="72"/>
    <x v="7"/>
    <x v="5"/>
    <x v="2"/>
    <x v="3"/>
    <n v="75000"/>
    <n v="2"/>
    <x v="1"/>
    <x v="0"/>
    <n v="150000"/>
  </r>
  <r>
    <s v="ORD0120"/>
    <x v="17"/>
    <x v="0"/>
    <x v="0"/>
    <x v="2"/>
    <x v="3"/>
    <n v="350000"/>
    <n v="1"/>
    <x v="0"/>
    <x v="1"/>
    <n v="350000"/>
  </r>
  <r>
    <s v="ORD0121"/>
    <x v="91"/>
    <x v="7"/>
    <x v="5"/>
    <x v="3"/>
    <x v="0"/>
    <n v="75000"/>
    <n v="3"/>
    <x v="1"/>
    <x v="0"/>
    <n v="225000"/>
  </r>
  <r>
    <s v="ORD0122"/>
    <x v="92"/>
    <x v="2"/>
    <x v="1"/>
    <x v="1"/>
    <x v="5"/>
    <n v="240000"/>
    <n v="1"/>
    <x v="1"/>
    <x v="1"/>
    <n v="240000"/>
  </r>
  <r>
    <s v="ORD0123"/>
    <x v="93"/>
    <x v="3"/>
    <x v="2"/>
    <x v="2"/>
    <x v="4"/>
    <n v="300000"/>
    <n v="2"/>
    <x v="1"/>
    <x v="1"/>
    <n v="600000"/>
  </r>
  <r>
    <s v="ORD0124"/>
    <x v="94"/>
    <x v="7"/>
    <x v="5"/>
    <x v="2"/>
    <x v="2"/>
    <n v="75000"/>
    <n v="2"/>
    <x v="0"/>
    <x v="0"/>
    <n v="150000"/>
  </r>
  <r>
    <s v="ORD0125"/>
    <x v="71"/>
    <x v="2"/>
    <x v="1"/>
    <x v="3"/>
    <x v="1"/>
    <n v="240000"/>
    <n v="2"/>
    <x v="1"/>
    <x v="1"/>
    <n v="480000"/>
  </r>
  <r>
    <s v="ORD0126"/>
    <x v="51"/>
    <x v="4"/>
    <x v="3"/>
    <x v="2"/>
    <x v="3"/>
    <n v="275000"/>
    <n v="2"/>
    <x v="0"/>
    <x v="0"/>
    <n v="550000"/>
  </r>
  <r>
    <s v="ORD0127"/>
    <x v="66"/>
    <x v="7"/>
    <x v="5"/>
    <x v="1"/>
    <x v="3"/>
    <n v="75000"/>
    <n v="3"/>
    <x v="1"/>
    <x v="0"/>
    <n v="225000"/>
  </r>
  <r>
    <s v="ORD0128"/>
    <x v="95"/>
    <x v="5"/>
    <x v="0"/>
    <x v="3"/>
    <x v="3"/>
    <n v="375000"/>
    <n v="1"/>
    <x v="0"/>
    <x v="0"/>
    <n v="375000"/>
  </r>
  <r>
    <s v="ORD0129"/>
    <x v="96"/>
    <x v="3"/>
    <x v="2"/>
    <x v="2"/>
    <x v="3"/>
    <n v="300000"/>
    <n v="3"/>
    <x v="0"/>
    <x v="0"/>
    <n v="900000"/>
  </r>
  <r>
    <s v="ORD0130"/>
    <x v="97"/>
    <x v="0"/>
    <x v="0"/>
    <x v="2"/>
    <x v="5"/>
    <n v="350000"/>
    <n v="2"/>
    <x v="1"/>
    <x v="1"/>
    <n v="700000"/>
  </r>
  <r>
    <s v="ORD0131"/>
    <x v="52"/>
    <x v="7"/>
    <x v="5"/>
    <x v="1"/>
    <x v="4"/>
    <n v="75000"/>
    <n v="1"/>
    <x v="0"/>
    <x v="0"/>
    <n v="75000"/>
  </r>
  <r>
    <s v="ORD0132"/>
    <x v="98"/>
    <x v="0"/>
    <x v="0"/>
    <x v="0"/>
    <x v="1"/>
    <n v="350000"/>
    <n v="3"/>
    <x v="0"/>
    <x v="0"/>
    <n v="1050000"/>
  </r>
  <r>
    <s v="ORD0133"/>
    <x v="99"/>
    <x v="3"/>
    <x v="2"/>
    <x v="2"/>
    <x v="5"/>
    <n v="300000"/>
    <n v="3"/>
    <x v="1"/>
    <x v="0"/>
    <n v="900000"/>
  </r>
  <r>
    <s v="ORD0134"/>
    <x v="100"/>
    <x v="7"/>
    <x v="5"/>
    <x v="2"/>
    <x v="1"/>
    <n v="75000"/>
    <n v="2"/>
    <x v="0"/>
    <x v="0"/>
    <n v="150000"/>
  </r>
  <r>
    <s v="ORD0135"/>
    <x v="101"/>
    <x v="4"/>
    <x v="3"/>
    <x v="2"/>
    <x v="4"/>
    <n v="275000"/>
    <n v="2"/>
    <x v="0"/>
    <x v="1"/>
    <n v="550000"/>
  </r>
  <r>
    <s v="ORD0136"/>
    <x v="102"/>
    <x v="4"/>
    <x v="3"/>
    <x v="2"/>
    <x v="1"/>
    <n v="275000"/>
    <n v="3"/>
    <x v="0"/>
    <x v="1"/>
    <n v="825000"/>
  </r>
  <r>
    <s v="ORD0137"/>
    <x v="103"/>
    <x v="5"/>
    <x v="0"/>
    <x v="1"/>
    <x v="0"/>
    <n v="375000"/>
    <n v="3"/>
    <x v="0"/>
    <x v="1"/>
    <n v="1125000"/>
  </r>
  <r>
    <s v="ORD0138"/>
    <x v="104"/>
    <x v="3"/>
    <x v="2"/>
    <x v="1"/>
    <x v="4"/>
    <n v="300000"/>
    <n v="3"/>
    <x v="1"/>
    <x v="1"/>
    <n v="900000"/>
  </r>
  <r>
    <s v="ORD0139"/>
    <x v="28"/>
    <x v="7"/>
    <x v="5"/>
    <x v="1"/>
    <x v="4"/>
    <n v="75000"/>
    <n v="2"/>
    <x v="1"/>
    <x v="0"/>
    <n v="150000"/>
  </r>
  <r>
    <s v="ORD0140"/>
    <x v="57"/>
    <x v="5"/>
    <x v="0"/>
    <x v="3"/>
    <x v="4"/>
    <n v="375000"/>
    <n v="1"/>
    <x v="0"/>
    <x v="0"/>
    <n v="375000"/>
  </r>
  <r>
    <s v="ORD0141"/>
    <x v="63"/>
    <x v="0"/>
    <x v="0"/>
    <x v="2"/>
    <x v="3"/>
    <n v="350000"/>
    <n v="1"/>
    <x v="1"/>
    <x v="1"/>
    <n v="350000"/>
  </r>
  <r>
    <s v="ORD0142"/>
    <x v="105"/>
    <x v="3"/>
    <x v="2"/>
    <x v="2"/>
    <x v="1"/>
    <n v="300000"/>
    <n v="2"/>
    <x v="0"/>
    <x v="0"/>
    <n v="600000"/>
  </r>
  <r>
    <s v="ORD0143"/>
    <x v="106"/>
    <x v="4"/>
    <x v="3"/>
    <x v="1"/>
    <x v="3"/>
    <n v="275000"/>
    <n v="3"/>
    <x v="0"/>
    <x v="1"/>
    <n v="825000"/>
  </r>
  <r>
    <s v="ORD0144"/>
    <x v="107"/>
    <x v="0"/>
    <x v="0"/>
    <x v="1"/>
    <x v="2"/>
    <n v="350000"/>
    <n v="2"/>
    <x v="1"/>
    <x v="0"/>
    <n v="700000"/>
  </r>
  <r>
    <s v="ORD0145"/>
    <x v="108"/>
    <x v="3"/>
    <x v="2"/>
    <x v="0"/>
    <x v="5"/>
    <n v="300000"/>
    <n v="1"/>
    <x v="0"/>
    <x v="0"/>
    <n v="300000"/>
  </r>
  <r>
    <s v="ORD0146"/>
    <x v="109"/>
    <x v="6"/>
    <x v="4"/>
    <x v="3"/>
    <x v="1"/>
    <n v="250000"/>
    <n v="3"/>
    <x v="0"/>
    <x v="1"/>
    <n v="750000"/>
  </r>
  <r>
    <s v="ORD0147"/>
    <x v="69"/>
    <x v="0"/>
    <x v="0"/>
    <x v="2"/>
    <x v="1"/>
    <n v="350000"/>
    <n v="1"/>
    <x v="1"/>
    <x v="1"/>
    <n v="350000"/>
  </r>
  <r>
    <s v="ORD0148"/>
    <x v="110"/>
    <x v="1"/>
    <x v="1"/>
    <x v="3"/>
    <x v="4"/>
    <n v="225000"/>
    <n v="1"/>
    <x v="0"/>
    <x v="1"/>
    <n v="225000"/>
  </r>
  <r>
    <s v="ORD0149"/>
    <x v="111"/>
    <x v="5"/>
    <x v="0"/>
    <x v="3"/>
    <x v="3"/>
    <n v="375000"/>
    <n v="2"/>
    <x v="1"/>
    <x v="0"/>
    <n v="750000"/>
  </r>
  <r>
    <s v="ORD0150"/>
    <x v="61"/>
    <x v="1"/>
    <x v="1"/>
    <x v="0"/>
    <x v="1"/>
    <n v="225000"/>
    <n v="1"/>
    <x v="0"/>
    <x v="1"/>
    <n v="225000"/>
  </r>
  <r>
    <s v="ORD0151"/>
    <x v="112"/>
    <x v="0"/>
    <x v="0"/>
    <x v="0"/>
    <x v="2"/>
    <n v="350000"/>
    <n v="2"/>
    <x v="1"/>
    <x v="1"/>
    <n v="700000"/>
  </r>
  <r>
    <s v="ORD0152"/>
    <x v="12"/>
    <x v="7"/>
    <x v="5"/>
    <x v="2"/>
    <x v="5"/>
    <n v="75000"/>
    <n v="2"/>
    <x v="0"/>
    <x v="1"/>
    <n v="150000"/>
  </r>
  <r>
    <s v="ORD0153"/>
    <x v="113"/>
    <x v="5"/>
    <x v="0"/>
    <x v="3"/>
    <x v="4"/>
    <n v="375000"/>
    <n v="1"/>
    <x v="1"/>
    <x v="0"/>
    <n v="375000"/>
  </r>
  <r>
    <s v="ORD0154"/>
    <x v="114"/>
    <x v="1"/>
    <x v="1"/>
    <x v="2"/>
    <x v="5"/>
    <n v="225000"/>
    <n v="3"/>
    <x v="1"/>
    <x v="1"/>
    <n v="675000"/>
  </r>
  <r>
    <s v="ORD0155"/>
    <x v="112"/>
    <x v="7"/>
    <x v="5"/>
    <x v="0"/>
    <x v="4"/>
    <n v="75000"/>
    <n v="3"/>
    <x v="0"/>
    <x v="1"/>
    <n v="225000"/>
  </r>
  <r>
    <s v="ORD0156"/>
    <x v="115"/>
    <x v="3"/>
    <x v="2"/>
    <x v="2"/>
    <x v="0"/>
    <n v="300000"/>
    <n v="3"/>
    <x v="0"/>
    <x v="0"/>
    <n v="900000"/>
  </r>
  <r>
    <s v="ORD0157"/>
    <x v="47"/>
    <x v="1"/>
    <x v="1"/>
    <x v="1"/>
    <x v="0"/>
    <n v="225000"/>
    <n v="2"/>
    <x v="1"/>
    <x v="1"/>
    <n v="450000"/>
  </r>
  <r>
    <s v="ORD0158"/>
    <x v="116"/>
    <x v="0"/>
    <x v="0"/>
    <x v="1"/>
    <x v="4"/>
    <n v="350000"/>
    <n v="1"/>
    <x v="1"/>
    <x v="0"/>
    <n v="350000"/>
  </r>
  <r>
    <s v="ORD0159"/>
    <x v="84"/>
    <x v="4"/>
    <x v="3"/>
    <x v="0"/>
    <x v="4"/>
    <n v="275000"/>
    <n v="1"/>
    <x v="1"/>
    <x v="0"/>
    <n v="275000"/>
  </r>
  <r>
    <s v="ORD0160"/>
    <x v="25"/>
    <x v="5"/>
    <x v="0"/>
    <x v="3"/>
    <x v="2"/>
    <n v="375000"/>
    <n v="2"/>
    <x v="0"/>
    <x v="1"/>
    <n v="750000"/>
  </r>
  <r>
    <s v="ORD0161"/>
    <x v="93"/>
    <x v="3"/>
    <x v="2"/>
    <x v="2"/>
    <x v="1"/>
    <n v="300000"/>
    <n v="2"/>
    <x v="0"/>
    <x v="1"/>
    <n v="600000"/>
  </r>
  <r>
    <s v="ORD0162"/>
    <x v="34"/>
    <x v="7"/>
    <x v="5"/>
    <x v="1"/>
    <x v="4"/>
    <n v="75000"/>
    <n v="3"/>
    <x v="1"/>
    <x v="0"/>
    <n v="225000"/>
  </r>
  <r>
    <s v="ORD0163"/>
    <x v="107"/>
    <x v="2"/>
    <x v="1"/>
    <x v="3"/>
    <x v="2"/>
    <n v="240000"/>
    <n v="3"/>
    <x v="0"/>
    <x v="1"/>
    <n v="720000"/>
  </r>
  <r>
    <s v="ORD0164"/>
    <x v="0"/>
    <x v="0"/>
    <x v="0"/>
    <x v="0"/>
    <x v="5"/>
    <n v="350000"/>
    <n v="1"/>
    <x v="0"/>
    <x v="0"/>
    <n v="350000"/>
  </r>
  <r>
    <s v="ORD0165"/>
    <x v="84"/>
    <x v="4"/>
    <x v="3"/>
    <x v="3"/>
    <x v="0"/>
    <n v="275000"/>
    <n v="1"/>
    <x v="1"/>
    <x v="0"/>
    <n v="275000"/>
  </r>
  <r>
    <s v="ORD0166"/>
    <x v="117"/>
    <x v="5"/>
    <x v="0"/>
    <x v="3"/>
    <x v="3"/>
    <n v="375000"/>
    <n v="3"/>
    <x v="0"/>
    <x v="1"/>
    <n v="1125000"/>
  </r>
  <r>
    <s v="ORD0167"/>
    <x v="118"/>
    <x v="0"/>
    <x v="0"/>
    <x v="0"/>
    <x v="0"/>
    <n v="350000"/>
    <n v="3"/>
    <x v="1"/>
    <x v="0"/>
    <n v="1050000"/>
  </r>
  <r>
    <s v="ORD0168"/>
    <x v="29"/>
    <x v="6"/>
    <x v="4"/>
    <x v="3"/>
    <x v="1"/>
    <n v="250000"/>
    <n v="3"/>
    <x v="1"/>
    <x v="0"/>
    <n v="750000"/>
  </r>
  <r>
    <s v="ORD0169"/>
    <x v="119"/>
    <x v="2"/>
    <x v="1"/>
    <x v="3"/>
    <x v="2"/>
    <n v="240000"/>
    <n v="3"/>
    <x v="1"/>
    <x v="1"/>
    <n v="720000"/>
  </r>
  <r>
    <s v="ORD0170"/>
    <x v="45"/>
    <x v="7"/>
    <x v="5"/>
    <x v="0"/>
    <x v="5"/>
    <n v="75000"/>
    <n v="1"/>
    <x v="0"/>
    <x v="0"/>
    <n v="75000"/>
  </r>
  <r>
    <s v="ORD0171"/>
    <x v="120"/>
    <x v="5"/>
    <x v="0"/>
    <x v="0"/>
    <x v="1"/>
    <n v="375000"/>
    <n v="3"/>
    <x v="1"/>
    <x v="0"/>
    <n v="1125000"/>
  </r>
  <r>
    <s v="ORD0172"/>
    <x v="121"/>
    <x v="2"/>
    <x v="1"/>
    <x v="3"/>
    <x v="2"/>
    <n v="240000"/>
    <n v="1"/>
    <x v="0"/>
    <x v="0"/>
    <n v="240000"/>
  </r>
  <r>
    <s v="ORD0173"/>
    <x v="122"/>
    <x v="5"/>
    <x v="0"/>
    <x v="1"/>
    <x v="3"/>
    <n v="375000"/>
    <n v="3"/>
    <x v="1"/>
    <x v="1"/>
    <n v="1125000"/>
  </r>
  <r>
    <s v="ORD0174"/>
    <x v="64"/>
    <x v="4"/>
    <x v="3"/>
    <x v="0"/>
    <x v="5"/>
    <n v="275000"/>
    <n v="3"/>
    <x v="1"/>
    <x v="1"/>
    <n v="825000"/>
  </r>
  <r>
    <s v="ORD0175"/>
    <x v="55"/>
    <x v="3"/>
    <x v="2"/>
    <x v="0"/>
    <x v="5"/>
    <n v="300000"/>
    <n v="2"/>
    <x v="0"/>
    <x v="1"/>
    <n v="600000"/>
  </r>
  <r>
    <s v="ORD0176"/>
    <x v="123"/>
    <x v="3"/>
    <x v="2"/>
    <x v="2"/>
    <x v="3"/>
    <n v="300000"/>
    <n v="1"/>
    <x v="1"/>
    <x v="0"/>
    <n v="300000"/>
  </r>
  <r>
    <s v="ORD0177"/>
    <x v="14"/>
    <x v="4"/>
    <x v="3"/>
    <x v="2"/>
    <x v="3"/>
    <n v="275000"/>
    <n v="2"/>
    <x v="0"/>
    <x v="1"/>
    <n v="550000"/>
  </r>
  <r>
    <s v="ORD0178"/>
    <x v="102"/>
    <x v="5"/>
    <x v="0"/>
    <x v="0"/>
    <x v="2"/>
    <n v="375000"/>
    <n v="1"/>
    <x v="1"/>
    <x v="1"/>
    <n v="375000"/>
  </r>
  <r>
    <s v="ORD0179"/>
    <x v="66"/>
    <x v="1"/>
    <x v="1"/>
    <x v="2"/>
    <x v="5"/>
    <n v="225000"/>
    <n v="1"/>
    <x v="1"/>
    <x v="0"/>
    <n v="225000"/>
  </r>
  <r>
    <s v="ORD0180"/>
    <x v="30"/>
    <x v="2"/>
    <x v="1"/>
    <x v="2"/>
    <x v="0"/>
    <n v="240000"/>
    <n v="2"/>
    <x v="0"/>
    <x v="0"/>
    <n v="480000"/>
  </r>
  <r>
    <s v="ORD0181"/>
    <x v="124"/>
    <x v="7"/>
    <x v="5"/>
    <x v="2"/>
    <x v="1"/>
    <n v="75000"/>
    <n v="1"/>
    <x v="1"/>
    <x v="1"/>
    <n v="75000"/>
  </r>
  <r>
    <s v="ORD0182"/>
    <x v="5"/>
    <x v="0"/>
    <x v="0"/>
    <x v="0"/>
    <x v="3"/>
    <n v="350000"/>
    <n v="1"/>
    <x v="1"/>
    <x v="0"/>
    <n v="350000"/>
  </r>
  <r>
    <s v="ORD0183"/>
    <x v="125"/>
    <x v="1"/>
    <x v="1"/>
    <x v="2"/>
    <x v="3"/>
    <n v="225000"/>
    <n v="1"/>
    <x v="0"/>
    <x v="0"/>
    <n v="225000"/>
  </r>
  <r>
    <s v="ORD0184"/>
    <x v="43"/>
    <x v="0"/>
    <x v="0"/>
    <x v="3"/>
    <x v="4"/>
    <n v="350000"/>
    <n v="1"/>
    <x v="0"/>
    <x v="0"/>
    <n v="350000"/>
  </r>
  <r>
    <s v="ORD0185"/>
    <x v="56"/>
    <x v="7"/>
    <x v="5"/>
    <x v="0"/>
    <x v="4"/>
    <n v="75000"/>
    <n v="3"/>
    <x v="1"/>
    <x v="1"/>
    <n v="225000"/>
  </r>
  <r>
    <s v="ORD0186"/>
    <x v="126"/>
    <x v="3"/>
    <x v="2"/>
    <x v="2"/>
    <x v="0"/>
    <n v="300000"/>
    <n v="2"/>
    <x v="1"/>
    <x v="0"/>
    <n v="600000"/>
  </r>
  <r>
    <s v="ORD0187"/>
    <x v="86"/>
    <x v="2"/>
    <x v="1"/>
    <x v="0"/>
    <x v="1"/>
    <n v="240000"/>
    <n v="3"/>
    <x v="1"/>
    <x v="0"/>
    <n v="720000"/>
  </r>
  <r>
    <s v="ORD0188"/>
    <x v="14"/>
    <x v="1"/>
    <x v="1"/>
    <x v="1"/>
    <x v="3"/>
    <n v="225000"/>
    <n v="1"/>
    <x v="1"/>
    <x v="1"/>
    <n v="225000"/>
  </r>
  <r>
    <s v="ORD0189"/>
    <x v="34"/>
    <x v="2"/>
    <x v="1"/>
    <x v="2"/>
    <x v="2"/>
    <n v="240000"/>
    <n v="2"/>
    <x v="1"/>
    <x v="0"/>
    <n v="480000"/>
  </r>
  <r>
    <s v="ORD0190"/>
    <x v="8"/>
    <x v="1"/>
    <x v="1"/>
    <x v="1"/>
    <x v="5"/>
    <n v="225000"/>
    <n v="1"/>
    <x v="1"/>
    <x v="0"/>
    <n v="225000"/>
  </r>
  <r>
    <s v="ORD0191"/>
    <x v="106"/>
    <x v="3"/>
    <x v="2"/>
    <x v="1"/>
    <x v="4"/>
    <n v="300000"/>
    <n v="2"/>
    <x v="1"/>
    <x v="1"/>
    <n v="600000"/>
  </r>
  <r>
    <s v="ORD0192"/>
    <x v="127"/>
    <x v="2"/>
    <x v="1"/>
    <x v="1"/>
    <x v="0"/>
    <n v="240000"/>
    <n v="1"/>
    <x v="0"/>
    <x v="1"/>
    <n v="240000"/>
  </r>
  <r>
    <s v="ORD0193"/>
    <x v="114"/>
    <x v="6"/>
    <x v="4"/>
    <x v="3"/>
    <x v="2"/>
    <n v="250000"/>
    <n v="1"/>
    <x v="1"/>
    <x v="1"/>
    <n v="250000"/>
  </r>
  <r>
    <s v="ORD0194"/>
    <x v="5"/>
    <x v="3"/>
    <x v="2"/>
    <x v="3"/>
    <x v="5"/>
    <n v="300000"/>
    <n v="3"/>
    <x v="0"/>
    <x v="0"/>
    <n v="900000"/>
  </r>
  <r>
    <s v="ORD0195"/>
    <x v="41"/>
    <x v="2"/>
    <x v="1"/>
    <x v="3"/>
    <x v="3"/>
    <n v="240000"/>
    <n v="2"/>
    <x v="0"/>
    <x v="0"/>
    <n v="480000"/>
  </r>
  <r>
    <s v="ORD0196"/>
    <x v="43"/>
    <x v="5"/>
    <x v="0"/>
    <x v="1"/>
    <x v="1"/>
    <n v="375000"/>
    <n v="3"/>
    <x v="1"/>
    <x v="0"/>
    <n v="1125000"/>
  </r>
  <r>
    <s v="ORD0197"/>
    <x v="37"/>
    <x v="5"/>
    <x v="0"/>
    <x v="2"/>
    <x v="3"/>
    <n v="375000"/>
    <n v="2"/>
    <x v="0"/>
    <x v="0"/>
    <n v="750000"/>
  </r>
  <r>
    <s v="ORD0198"/>
    <x v="128"/>
    <x v="7"/>
    <x v="5"/>
    <x v="0"/>
    <x v="0"/>
    <n v="75000"/>
    <n v="2"/>
    <x v="1"/>
    <x v="0"/>
    <n v="150000"/>
  </r>
  <r>
    <s v="ORD0199"/>
    <x v="122"/>
    <x v="3"/>
    <x v="2"/>
    <x v="1"/>
    <x v="3"/>
    <n v="300000"/>
    <n v="2"/>
    <x v="1"/>
    <x v="1"/>
    <n v="600000"/>
  </r>
  <r>
    <s v="ORD0200"/>
    <x v="129"/>
    <x v="0"/>
    <x v="0"/>
    <x v="3"/>
    <x v="2"/>
    <n v="350000"/>
    <n v="3"/>
    <x v="0"/>
    <x v="1"/>
    <n v="1050000"/>
  </r>
  <r>
    <s v="ORD0201"/>
    <x v="130"/>
    <x v="1"/>
    <x v="1"/>
    <x v="3"/>
    <x v="2"/>
    <n v="225000"/>
    <n v="2"/>
    <x v="0"/>
    <x v="0"/>
    <n v="450000"/>
  </r>
  <r>
    <s v="ORD0202"/>
    <x v="99"/>
    <x v="1"/>
    <x v="1"/>
    <x v="2"/>
    <x v="3"/>
    <n v="225000"/>
    <n v="3"/>
    <x v="0"/>
    <x v="1"/>
    <n v="675000"/>
  </r>
  <r>
    <s v="ORD0203"/>
    <x v="78"/>
    <x v="7"/>
    <x v="5"/>
    <x v="1"/>
    <x v="5"/>
    <n v="75000"/>
    <n v="1"/>
    <x v="1"/>
    <x v="1"/>
    <n v="75000"/>
  </r>
  <r>
    <s v="ORD0204"/>
    <x v="73"/>
    <x v="0"/>
    <x v="0"/>
    <x v="0"/>
    <x v="1"/>
    <n v="350000"/>
    <n v="3"/>
    <x v="0"/>
    <x v="0"/>
    <n v="1050000"/>
  </r>
  <r>
    <s v="ORD0205"/>
    <x v="131"/>
    <x v="0"/>
    <x v="0"/>
    <x v="2"/>
    <x v="4"/>
    <n v="350000"/>
    <n v="1"/>
    <x v="1"/>
    <x v="0"/>
    <n v="350000"/>
  </r>
  <r>
    <s v="ORD0206"/>
    <x v="17"/>
    <x v="6"/>
    <x v="4"/>
    <x v="0"/>
    <x v="4"/>
    <n v="250000"/>
    <n v="3"/>
    <x v="0"/>
    <x v="1"/>
    <n v="750000"/>
  </r>
  <r>
    <s v="ORD0207"/>
    <x v="132"/>
    <x v="0"/>
    <x v="0"/>
    <x v="2"/>
    <x v="4"/>
    <n v="350000"/>
    <n v="3"/>
    <x v="0"/>
    <x v="0"/>
    <n v="1050000"/>
  </r>
  <r>
    <s v="ORD0208"/>
    <x v="133"/>
    <x v="7"/>
    <x v="5"/>
    <x v="3"/>
    <x v="2"/>
    <n v="75000"/>
    <n v="1"/>
    <x v="0"/>
    <x v="1"/>
    <n v="75000"/>
  </r>
  <r>
    <s v="ORD0209"/>
    <x v="110"/>
    <x v="3"/>
    <x v="2"/>
    <x v="1"/>
    <x v="3"/>
    <n v="300000"/>
    <n v="2"/>
    <x v="0"/>
    <x v="0"/>
    <n v="600000"/>
  </r>
  <r>
    <s v="ORD0210"/>
    <x v="14"/>
    <x v="2"/>
    <x v="1"/>
    <x v="3"/>
    <x v="5"/>
    <n v="240000"/>
    <n v="2"/>
    <x v="1"/>
    <x v="1"/>
    <n v="480000"/>
  </r>
  <r>
    <s v="ORD0211"/>
    <x v="49"/>
    <x v="5"/>
    <x v="0"/>
    <x v="0"/>
    <x v="2"/>
    <n v="375000"/>
    <n v="2"/>
    <x v="1"/>
    <x v="0"/>
    <n v="750000"/>
  </r>
  <r>
    <s v="ORD0212"/>
    <x v="10"/>
    <x v="0"/>
    <x v="0"/>
    <x v="3"/>
    <x v="3"/>
    <n v="350000"/>
    <n v="1"/>
    <x v="1"/>
    <x v="0"/>
    <n v="350000"/>
  </r>
  <r>
    <s v="ORD0213"/>
    <x v="134"/>
    <x v="3"/>
    <x v="2"/>
    <x v="3"/>
    <x v="3"/>
    <n v="300000"/>
    <n v="1"/>
    <x v="1"/>
    <x v="1"/>
    <n v="300000"/>
  </r>
  <r>
    <s v="ORD0214"/>
    <x v="135"/>
    <x v="6"/>
    <x v="4"/>
    <x v="1"/>
    <x v="0"/>
    <n v="250000"/>
    <n v="2"/>
    <x v="1"/>
    <x v="0"/>
    <n v="500000"/>
  </r>
  <r>
    <s v="ORD0215"/>
    <x v="31"/>
    <x v="2"/>
    <x v="1"/>
    <x v="3"/>
    <x v="4"/>
    <n v="240000"/>
    <n v="3"/>
    <x v="0"/>
    <x v="1"/>
    <n v="720000"/>
  </r>
  <r>
    <s v="ORD0216"/>
    <x v="79"/>
    <x v="7"/>
    <x v="5"/>
    <x v="2"/>
    <x v="2"/>
    <n v="75000"/>
    <n v="1"/>
    <x v="1"/>
    <x v="0"/>
    <n v="75000"/>
  </r>
  <r>
    <s v="ORD0217"/>
    <x v="136"/>
    <x v="6"/>
    <x v="4"/>
    <x v="3"/>
    <x v="0"/>
    <n v="250000"/>
    <n v="1"/>
    <x v="0"/>
    <x v="1"/>
    <n v="250000"/>
  </r>
  <r>
    <s v="ORD0218"/>
    <x v="135"/>
    <x v="7"/>
    <x v="5"/>
    <x v="3"/>
    <x v="3"/>
    <n v="75000"/>
    <n v="3"/>
    <x v="0"/>
    <x v="0"/>
    <n v="225000"/>
  </r>
  <r>
    <s v="ORD0219"/>
    <x v="87"/>
    <x v="5"/>
    <x v="0"/>
    <x v="3"/>
    <x v="1"/>
    <n v="375000"/>
    <n v="1"/>
    <x v="1"/>
    <x v="1"/>
    <n v="375000"/>
  </r>
  <r>
    <s v="ORD0220"/>
    <x v="83"/>
    <x v="7"/>
    <x v="5"/>
    <x v="1"/>
    <x v="5"/>
    <n v="75000"/>
    <n v="3"/>
    <x v="1"/>
    <x v="1"/>
    <n v="225000"/>
  </r>
  <r>
    <s v="ORD0221"/>
    <x v="85"/>
    <x v="2"/>
    <x v="1"/>
    <x v="2"/>
    <x v="5"/>
    <n v="240000"/>
    <n v="1"/>
    <x v="0"/>
    <x v="1"/>
    <n v="240000"/>
  </r>
  <r>
    <s v="ORD0222"/>
    <x v="55"/>
    <x v="4"/>
    <x v="3"/>
    <x v="2"/>
    <x v="4"/>
    <n v="275000"/>
    <n v="1"/>
    <x v="1"/>
    <x v="0"/>
    <n v="275000"/>
  </r>
  <r>
    <s v="ORD0223"/>
    <x v="137"/>
    <x v="2"/>
    <x v="1"/>
    <x v="3"/>
    <x v="4"/>
    <n v="240000"/>
    <n v="1"/>
    <x v="1"/>
    <x v="0"/>
    <n v="240000"/>
  </r>
  <r>
    <s v="ORD0224"/>
    <x v="71"/>
    <x v="7"/>
    <x v="5"/>
    <x v="3"/>
    <x v="3"/>
    <n v="75000"/>
    <n v="1"/>
    <x v="0"/>
    <x v="0"/>
    <n v="75000"/>
  </r>
  <r>
    <s v="ORD0225"/>
    <x v="7"/>
    <x v="0"/>
    <x v="0"/>
    <x v="2"/>
    <x v="0"/>
    <n v="350000"/>
    <n v="1"/>
    <x v="1"/>
    <x v="0"/>
    <n v="350000"/>
  </r>
  <r>
    <s v="ORD0226"/>
    <x v="138"/>
    <x v="1"/>
    <x v="1"/>
    <x v="3"/>
    <x v="4"/>
    <n v="225000"/>
    <n v="1"/>
    <x v="0"/>
    <x v="0"/>
    <n v="225000"/>
  </r>
  <r>
    <s v="ORD0227"/>
    <x v="112"/>
    <x v="1"/>
    <x v="1"/>
    <x v="2"/>
    <x v="0"/>
    <n v="225000"/>
    <n v="3"/>
    <x v="1"/>
    <x v="0"/>
    <n v="675000"/>
  </r>
  <r>
    <s v="ORD0228"/>
    <x v="3"/>
    <x v="7"/>
    <x v="5"/>
    <x v="1"/>
    <x v="0"/>
    <n v="75000"/>
    <n v="3"/>
    <x v="1"/>
    <x v="0"/>
    <n v="225000"/>
  </r>
  <r>
    <s v="ORD0229"/>
    <x v="89"/>
    <x v="1"/>
    <x v="1"/>
    <x v="0"/>
    <x v="4"/>
    <n v="225000"/>
    <n v="1"/>
    <x v="0"/>
    <x v="1"/>
    <n v="225000"/>
  </r>
  <r>
    <s v="ORD0230"/>
    <x v="51"/>
    <x v="4"/>
    <x v="3"/>
    <x v="3"/>
    <x v="4"/>
    <n v="275000"/>
    <n v="3"/>
    <x v="1"/>
    <x v="0"/>
    <n v="825000"/>
  </r>
  <r>
    <s v="ORD0231"/>
    <x v="139"/>
    <x v="0"/>
    <x v="0"/>
    <x v="0"/>
    <x v="0"/>
    <n v="350000"/>
    <n v="2"/>
    <x v="0"/>
    <x v="0"/>
    <n v="700000"/>
  </r>
  <r>
    <s v="ORD0232"/>
    <x v="10"/>
    <x v="0"/>
    <x v="0"/>
    <x v="2"/>
    <x v="4"/>
    <n v="350000"/>
    <n v="3"/>
    <x v="1"/>
    <x v="0"/>
    <n v="1050000"/>
  </r>
  <r>
    <s v="ORD0233"/>
    <x v="61"/>
    <x v="3"/>
    <x v="2"/>
    <x v="2"/>
    <x v="5"/>
    <n v="300000"/>
    <n v="3"/>
    <x v="0"/>
    <x v="1"/>
    <n v="900000"/>
  </r>
  <r>
    <s v="ORD0234"/>
    <x v="130"/>
    <x v="4"/>
    <x v="3"/>
    <x v="0"/>
    <x v="0"/>
    <n v="275000"/>
    <n v="3"/>
    <x v="1"/>
    <x v="1"/>
    <n v="825000"/>
  </r>
  <r>
    <s v="ORD0235"/>
    <x v="77"/>
    <x v="3"/>
    <x v="2"/>
    <x v="0"/>
    <x v="1"/>
    <n v="300000"/>
    <n v="1"/>
    <x v="1"/>
    <x v="1"/>
    <n v="300000"/>
  </r>
  <r>
    <s v="ORD0236"/>
    <x v="20"/>
    <x v="2"/>
    <x v="1"/>
    <x v="3"/>
    <x v="1"/>
    <n v="240000"/>
    <n v="1"/>
    <x v="0"/>
    <x v="0"/>
    <n v="240000"/>
  </r>
  <r>
    <s v="ORD0237"/>
    <x v="35"/>
    <x v="0"/>
    <x v="0"/>
    <x v="3"/>
    <x v="5"/>
    <n v="350000"/>
    <n v="1"/>
    <x v="1"/>
    <x v="0"/>
    <n v="350000"/>
  </r>
  <r>
    <s v="ORD0238"/>
    <x v="98"/>
    <x v="5"/>
    <x v="0"/>
    <x v="3"/>
    <x v="3"/>
    <n v="375000"/>
    <n v="2"/>
    <x v="0"/>
    <x v="0"/>
    <n v="750000"/>
  </r>
  <r>
    <s v="ORD0239"/>
    <x v="129"/>
    <x v="4"/>
    <x v="3"/>
    <x v="3"/>
    <x v="3"/>
    <n v="275000"/>
    <n v="1"/>
    <x v="0"/>
    <x v="0"/>
    <n v="275000"/>
  </r>
  <r>
    <s v="ORD0240"/>
    <x v="56"/>
    <x v="0"/>
    <x v="0"/>
    <x v="3"/>
    <x v="2"/>
    <n v="350000"/>
    <n v="1"/>
    <x v="1"/>
    <x v="0"/>
    <n v="350000"/>
  </r>
  <r>
    <s v="ORD0241"/>
    <x v="23"/>
    <x v="6"/>
    <x v="4"/>
    <x v="2"/>
    <x v="3"/>
    <n v="250000"/>
    <n v="2"/>
    <x v="0"/>
    <x v="1"/>
    <n v="500000"/>
  </r>
  <r>
    <s v="ORD0242"/>
    <x v="76"/>
    <x v="0"/>
    <x v="0"/>
    <x v="3"/>
    <x v="5"/>
    <n v="350000"/>
    <n v="2"/>
    <x v="0"/>
    <x v="1"/>
    <n v="700000"/>
  </r>
  <r>
    <s v="ORD0243"/>
    <x v="75"/>
    <x v="7"/>
    <x v="5"/>
    <x v="3"/>
    <x v="0"/>
    <n v="75000"/>
    <n v="2"/>
    <x v="1"/>
    <x v="0"/>
    <n v="150000"/>
  </r>
  <r>
    <s v="ORD0244"/>
    <x v="32"/>
    <x v="6"/>
    <x v="4"/>
    <x v="1"/>
    <x v="2"/>
    <n v="250000"/>
    <n v="1"/>
    <x v="0"/>
    <x v="1"/>
    <n v="250000"/>
  </r>
  <r>
    <s v="ORD0245"/>
    <x v="104"/>
    <x v="3"/>
    <x v="2"/>
    <x v="3"/>
    <x v="1"/>
    <n v="300000"/>
    <n v="3"/>
    <x v="0"/>
    <x v="0"/>
    <n v="900000"/>
  </r>
  <r>
    <s v="ORD0246"/>
    <x v="78"/>
    <x v="7"/>
    <x v="5"/>
    <x v="1"/>
    <x v="5"/>
    <n v="75000"/>
    <n v="2"/>
    <x v="1"/>
    <x v="1"/>
    <n v="150000"/>
  </r>
  <r>
    <s v="ORD0247"/>
    <x v="53"/>
    <x v="3"/>
    <x v="2"/>
    <x v="3"/>
    <x v="4"/>
    <n v="300000"/>
    <n v="2"/>
    <x v="0"/>
    <x v="1"/>
    <n v="600000"/>
  </r>
  <r>
    <s v="ORD0248"/>
    <x v="94"/>
    <x v="4"/>
    <x v="3"/>
    <x v="2"/>
    <x v="3"/>
    <n v="275000"/>
    <n v="3"/>
    <x v="1"/>
    <x v="1"/>
    <n v="825000"/>
  </r>
  <r>
    <s v="ORD0249"/>
    <x v="38"/>
    <x v="2"/>
    <x v="1"/>
    <x v="0"/>
    <x v="1"/>
    <n v="240000"/>
    <n v="1"/>
    <x v="1"/>
    <x v="0"/>
    <n v="240000"/>
  </r>
  <r>
    <s v="ORD0250"/>
    <x v="73"/>
    <x v="2"/>
    <x v="1"/>
    <x v="3"/>
    <x v="3"/>
    <n v="240000"/>
    <n v="2"/>
    <x v="1"/>
    <x v="0"/>
    <n v="480000"/>
  </r>
  <r>
    <s v="ORD0251"/>
    <x v="36"/>
    <x v="7"/>
    <x v="5"/>
    <x v="2"/>
    <x v="4"/>
    <n v="75000"/>
    <n v="2"/>
    <x v="1"/>
    <x v="0"/>
    <n v="150000"/>
  </r>
  <r>
    <s v="ORD0252"/>
    <x v="140"/>
    <x v="7"/>
    <x v="5"/>
    <x v="1"/>
    <x v="4"/>
    <n v="75000"/>
    <n v="2"/>
    <x v="0"/>
    <x v="0"/>
    <n v="150000"/>
  </r>
  <r>
    <s v="ORD0253"/>
    <x v="141"/>
    <x v="2"/>
    <x v="1"/>
    <x v="1"/>
    <x v="1"/>
    <n v="240000"/>
    <n v="3"/>
    <x v="0"/>
    <x v="1"/>
    <n v="720000"/>
  </r>
  <r>
    <s v="ORD0254"/>
    <x v="142"/>
    <x v="3"/>
    <x v="2"/>
    <x v="0"/>
    <x v="5"/>
    <n v="300000"/>
    <n v="2"/>
    <x v="1"/>
    <x v="1"/>
    <n v="600000"/>
  </r>
  <r>
    <s v="ORD0255"/>
    <x v="135"/>
    <x v="6"/>
    <x v="4"/>
    <x v="1"/>
    <x v="5"/>
    <n v="250000"/>
    <n v="3"/>
    <x v="1"/>
    <x v="0"/>
    <n v="750000"/>
  </r>
  <r>
    <s v="ORD0256"/>
    <x v="143"/>
    <x v="7"/>
    <x v="5"/>
    <x v="2"/>
    <x v="4"/>
    <n v="75000"/>
    <n v="2"/>
    <x v="1"/>
    <x v="1"/>
    <n v="150000"/>
  </r>
  <r>
    <s v="ORD0257"/>
    <x v="144"/>
    <x v="0"/>
    <x v="0"/>
    <x v="0"/>
    <x v="0"/>
    <n v="350000"/>
    <n v="1"/>
    <x v="0"/>
    <x v="0"/>
    <n v="350000"/>
  </r>
  <r>
    <s v="ORD0258"/>
    <x v="145"/>
    <x v="1"/>
    <x v="1"/>
    <x v="2"/>
    <x v="2"/>
    <n v="225000"/>
    <n v="3"/>
    <x v="1"/>
    <x v="0"/>
    <n v="675000"/>
  </r>
  <r>
    <s v="ORD0259"/>
    <x v="35"/>
    <x v="1"/>
    <x v="1"/>
    <x v="3"/>
    <x v="1"/>
    <n v="225000"/>
    <n v="2"/>
    <x v="0"/>
    <x v="0"/>
    <n v="450000"/>
  </r>
  <r>
    <s v="ORD0260"/>
    <x v="86"/>
    <x v="6"/>
    <x v="4"/>
    <x v="3"/>
    <x v="1"/>
    <n v="250000"/>
    <n v="1"/>
    <x v="0"/>
    <x v="0"/>
    <n v="250000"/>
  </r>
  <r>
    <s v="ORD0261"/>
    <x v="26"/>
    <x v="5"/>
    <x v="0"/>
    <x v="0"/>
    <x v="3"/>
    <n v="375000"/>
    <n v="1"/>
    <x v="0"/>
    <x v="1"/>
    <n v="375000"/>
  </r>
  <r>
    <s v="ORD0262"/>
    <x v="50"/>
    <x v="7"/>
    <x v="5"/>
    <x v="3"/>
    <x v="4"/>
    <n v="75000"/>
    <n v="2"/>
    <x v="1"/>
    <x v="1"/>
    <n v="150000"/>
  </r>
  <r>
    <s v="ORD0263"/>
    <x v="96"/>
    <x v="1"/>
    <x v="1"/>
    <x v="2"/>
    <x v="3"/>
    <n v="225000"/>
    <n v="2"/>
    <x v="1"/>
    <x v="0"/>
    <n v="450000"/>
  </r>
  <r>
    <s v="ORD0264"/>
    <x v="34"/>
    <x v="5"/>
    <x v="0"/>
    <x v="1"/>
    <x v="3"/>
    <n v="375000"/>
    <n v="3"/>
    <x v="1"/>
    <x v="0"/>
    <n v="1125000"/>
  </r>
  <r>
    <s v="ORD0265"/>
    <x v="146"/>
    <x v="3"/>
    <x v="2"/>
    <x v="3"/>
    <x v="5"/>
    <n v="300000"/>
    <n v="3"/>
    <x v="0"/>
    <x v="0"/>
    <n v="900000"/>
  </r>
  <r>
    <s v="ORD0266"/>
    <x v="114"/>
    <x v="7"/>
    <x v="5"/>
    <x v="3"/>
    <x v="5"/>
    <n v="75000"/>
    <n v="3"/>
    <x v="1"/>
    <x v="0"/>
    <n v="225000"/>
  </r>
  <r>
    <s v="ORD0267"/>
    <x v="32"/>
    <x v="7"/>
    <x v="5"/>
    <x v="2"/>
    <x v="4"/>
    <n v="75000"/>
    <n v="3"/>
    <x v="1"/>
    <x v="0"/>
    <n v="225000"/>
  </r>
  <r>
    <s v="ORD0268"/>
    <x v="126"/>
    <x v="2"/>
    <x v="1"/>
    <x v="1"/>
    <x v="3"/>
    <n v="240000"/>
    <n v="2"/>
    <x v="0"/>
    <x v="0"/>
    <n v="480000"/>
  </r>
  <r>
    <s v="ORD0269"/>
    <x v="10"/>
    <x v="7"/>
    <x v="5"/>
    <x v="3"/>
    <x v="4"/>
    <n v="75000"/>
    <n v="1"/>
    <x v="1"/>
    <x v="0"/>
    <n v="75000"/>
  </r>
  <r>
    <s v="ORD0270"/>
    <x v="77"/>
    <x v="0"/>
    <x v="0"/>
    <x v="2"/>
    <x v="3"/>
    <n v="350000"/>
    <n v="2"/>
    <x v="1"/>
    <x v="1"/>
    <n v="700000"/>
  </r>
  <r>
    <s v="ORD0271"/>
    <x v="145"/>
    <x v="4"/>
    <x v="3"/>
    <x v="3"/>
    <x v="4"/>
    <n v="275000"/>
    <n v="2"/>
    <x v="0"/>
    <x v="0"/>
    <n v="550000"/>
  </r>
  <r>
    <s v="ORD0272"/>
    <x v="146"/>
    <x v="0"/>
    <x v="0"/>
    <x v="2"/>
    <x v="5"/>
    <n v="350000"/>
    <n v="3"/>
    <x v="1"/>
    <x v="0"/>
    <n v="1050000"/>
  </r>
  <r>
    <s v="ORD0273"/>
    <x v="75"/>
    <x v="5"/>
    <x v="0"/>
    <x v="2"/>
    <x v="2"/>
    <n v="375000"/>
    <n v="3"/>
    <x v="0"/>
    <x v="1"/>
    <n v="1125000"/>
  </r>
  <r>
    <s v="ORD0274"/>
    <x v="147"/>
    <x v="1"/>
    <x v="1"/>
    <x v="3"/>
    <x v="3"/>
    <n v="225000"/>
    <n v="1"/>
    <x v="1"/>
    <x v="1"/>
    <n v="225000"/>
  </r>
  <r>
    <s v="ORD0275"/>
    <x v="19"/>
    <x v="2"/>
    <x v="1"/>
    <x v="2"/>
    <x v="3"/>
    <n v="240000"/>
    <n v="3"/>
    <x v="1"/>
    <x v="1"/>
    <n v="720000"/>
  </r>
  <r>
    <s v="ORD0276"/>
    <x v="13"/>
    <x v="6"/>
    <x v="4"/>
    <x v="1"/>
    <x v="1"/>
    <n v="250000"/>
    <n v="2"/>
    <x v="1"/>
    <x v="1"/>
    <n v="500000"/>
  </r>
  <r>
    <s v="ORD0277"/>
    <x v="108"/>
    <x v="1"/>
    <x v="1"/>
    <x v="2"/>
    <x v="2"/>
    <n v="225000"/>
    <n v="2"/>
    <x v="0"/>
    <x v="0"/>
    <n v="450000"/>
  </r>
  <r>
    <s v="ORD0278"/>
    <x v="80"/>
    <x v="6"/>
    <x v="4"/>
    <x v="2"/>
    <x v="4"/>
    <n v="250000"/>
    <n v="2"/>
    <x v="1"/>
    <x v="0"/>
    <n v="500000"/>
  </r>
  <r>
    <s v="ORD0279"/>
    <x v="148"/>
    <x v="3"/>
    <x v="2"/>
    <x v="3"/>
    <x v="4"/>
    <n v="300000"/>
    <n v="1"/>
    <x v="1"/>
    <x v="0"/>
    <n v="300000"/>
  </r>
  <r>
    <s v="ORD0280"/>
    <x v="4"/>
    <x v="2"/>
    <x v="1"/>
    <x v="2"/>
    <x v="5"/>
    <n v="240000"/>
    <n v="2"/>
    <x v="1"/>
    <x v="0"/>
    <n v="480000"/>
  </r>
  <r>
    <s v="ORD0281"/>
    <x v="75"/>
    <x v="3"/>
    <x v="2"/>
    <x v="1"/>
    <x v="4"/>
    <n v="300000"/>
    <n v="3"/>
    <x v="1"/>
    <x v="0"/>
    <n v="900000"/>
  </r>
  <r>
    <s v="ORD0282"/>
    <x v="115"/>
    <x v="6"/>
    <x v="4"/>
    <x v="1"/>
    <x v="1"/>
    <n v="250000"/>
    <n v="2"/>
    <x v="0"/>
    <x v="1"/>
    <n v="500000"/>
  </r>
  <r>
    <s v="ORD0283"/>
    <x v="75"/>
    <x v="3"/>
    <x v="2"/>
    <x v="0"/>
    <x v="3"/>
    <n v="300000"/>
    <n v="3"/>
    <x v="0"/>
    <x v="0"/>
    <n v="900000"/>
  </r>
  <r>
    <s v="ORD0284"/>
    <x v="132"/>
    <x v="1"/>
    <x v="1"/>
    <x v="2"/>
    <x v="2"/>
    <n v="225000"/>
    <n v="3"/>
    <x v="0"/>
    <x v="0"/>
    <n v="675000"/>
  </r>
  <r>
    <s v="ORD0285"/>
    <x v="73"/>
    <x v="7"/>
    <x v="5"/>
    <x v="0"/>
    <x v="1"/>
    <n v="75000"/>
    <n v="3"/>
    <x v="0"/>
    <x v="1"/>
    <n v="225000"/>
  </r>
  <r>
    <s v="ORD0286"/>
    <x v="4"/>
    <x v="7"/>
    <x v="5"/>
    <x v="3"/>
    <x v="4"/>
    <n v="75000"/>
    <n v="3"/>
    <x v="1"/>
    <x v="1"/>
    <n v="225000"/>
  </r>
  <r>
    <s v="ORD0287"/>
    <x v="15"/>
    <x v="0"/>
    <x v="0"/>
    <x v="2"/>
    <x v="2"/>
    <n v="350000"/>
    <n v="1"/>
    <x v="1"/>
    <x v="1"/>
    <n v="350000"/>
  </r>
  <r>
    <s v="ORD0288"/>
    <x v="138"/>
    <x v="0"/>
    <x v="0"/>
    <x v="2"/>
    <x v="5"/>
    <n v="350000"/>
    <n v="3"/>
    <x v="0"/>
    <x v="1"/>
    <n v="1050000"/>
  </r>
  <r>
    <s v="ORD0289"/>
    <x v="18"/>
    <x v="4"/>
    <x v="3"/>
    <x v="2"/>
    <x v="1"/>
    <n v="275000"/>
    <n v="1"/>
    <x v="0"/>
    <x v="1"/>
    <n v="275000"/>
  </r>
  <r>
    <s v="ORD0290"/>
    <x v="116"/>
    <x v="5"/>
    <x v="0"/>
    <x v="1"/>
    <x v="5"/>
    <n v="375000"/>
    <n v="2"/>
    <x v="0"/>
    <x v="0"/>
    <n v="750000"/>
  </r>
  <r>
    <s v="ORD0291"/>
    <x v="69"/>
    <x v="1"/>
    <x v="1"/>
    <x v="3"/>
    <x v="3"/>
    <n v="225000"/>
    <n v="1"/>
    <x v="0"/>
    <x v="0"/>
    <n v="225000"/>
  </r>
  <r>
    <s v="ORD0292"/>
    <x v="119"/>
    <x v="2"/>
    <x v="1"/>
    <x v="2"/>
    <x v="3"/>
    <n v="240000"/>
    <n v="3"/>
    <x v="0"/>
    <x v="1"/>
    <n v="720000"/>
  </r>
  <r>
    <s v="ORD0293"/>
    <x v="18"/>
    <x v="5"/>
    <x v="0"/>
    <x v="0"/>
    <x v="1"/>
    <n v="375000"/>
    <n v="1"/>
    <x v="0"/>
    <x v="0"/>
    <n v="375000"/>
  </r>
  <r>
    <s v="ORD0294"/>
    <x v="43"/>
    <x v="0"/>
    <x v="0"/>
    <x v="0"/>
    <x v="4"/>
    <n v="350000"/>
    <n v="2"/>
    <x v="0"/>
    <x v="1"/>
    <n v="700000"/>
  </r>
  <r>
    <s v="ORD0295"/>
    <x v="140"/>
    <x v="2"/>
    <x v="1"/>
    <x v="1"/>
    <x v="4"/>
    <n v="240000"/>
    <n v="3"/>
    <x v="0"/>
    <x v="0"/>
    <n v="720000"/>
  </r>
  <r>
    <s v="ORD0296"/>
    <x v="0"/>
    <x v="1"/>
    <x v="1"/>
    <x v="3"/>
    <x v="4"/>
    <n v="225000"/>
    <n v="1"/>
    <x v="0"/>
    <x v="0"/>
    <n v="225000"/>
  </r>
  <r>
    <s v="ORD0297"/>
    <x v="115"/>
    <x v="2"/>
    <x v="1"/>
    <x v="0"/>
    <x v="0"/>
    <n v="240000"/>
    <n v="1"/>
    <x v="0"/>
    <x v="1"/>
    <n v="240000"/>
  </r>
  <r>
    <s v="ORD0298"/>
    <x v="141"/>
    <x v="1"/>
    <x v="1"/>
    <x v="1"/>
    <x v="1"/>
    <n v="225000"/>
    <n v="1"/>
    <x v="1"/>
    <x v="1"/>
    <n v="225000"/>
  </r>
  <r>
    <s v="ORD0299"/>
    <x v="31"/>
    <x v="0"/>
    <x v="0"/>
    <x v="3"/>
    <x v="5"/>
    <n v="350000"/>
    <n v="2"/>
    <x v="1"/>
    <x v="0"/>
    <n v="700000"/>
  </r>
  <r>
    <s v="ORD0300"/>
    <x v="149"/>
    <x v="4"/>
    <x v="3"/>
    <x v="0"/>
    <x v="0"/>
    <n v="275000"/>
    <n v="3"/>
    <x v="0"/>
    <x v="0"/>
    <n v="825000"/>
  </r>
  <r>
    <s v="ORD0301"/>
    <x v="54"/>
    <x v="5"/>
    <x v="0"/>
    <x v="0"/>
    <x v="5"/>
    <n v="375000"/>
    <n v="2"/>
    <x v="1"/>
    <x v="1"/>
    <n v="750000"/>
  </r>
  <r>
    <s v="ORD0302"/>
    <x v="150"/>
    <x v="3"/>
    <x v="2"/>
    <x v="2"/>
    <x v="2"/>
    <n v="300000"/>
    <n v="1"/>
    <x v="0"/>
    <x v="1"/>
    <n v="300000"/>
  </r>
  <r>
    <s v="ORD0303"/>
    <x v="89"/>
    <x v="2"/>
    <x v="1"/>
    <x v="1"/>
    <x v="4"/>
    <n v="240000"/>
    <n v="1"/>
    <x v="1"/>
    <x v="1"/>
    <n v="240000"/>
  </r>
  <r>
    <s v="ORD0304"/>
    <x v="61"/>
    <x v="5"/>
    <x v="0"/>
    <x v="1"/>
    <x v="1"/>
    <n v="375000"/>
    <n v="3"/>
    <x v="0"/>
    <x v="1"/>
    <n v="1125000"/>
  </r>
  <r>
    <s v="ORD0305"/>
    <x v="80"/>
    <x v="3"/>
    <x v="2"/>
    <x v="3"/>
    <x v="5"/>
    <n v="300000"/>
    <n v="1"/>
    <x v="1"/>
    <x v="1"/>
    <n v="300000"/>
  </r>
  <r>
    <s v="ORD0306"/>
    <x v="144"/>
    <x v="5"/>
    <x v="0"/>
    <x v="3"/>
    <x v="1"/>
    <n v="375000"/>
    <n v="3"/>
    <x v="1"/>
    <x v="0"/>
    <n v="1125000"/>
  </r>
  <r>
    <s v="ORD0307"/>
    <x v="78"/>
    <x v="0"/>
    <x v="0"/>
    <x v="0"/>
    <x v="1"/>
    <n v="350000"/>
    <n v="1"/>
    <x v="1"/>
    <x v="0"/>
    <n v="350000"/>
  </r>
  <r>
    <s v="ORD0308"/>
    <x v="74"/>
    <x v="5"/>
    <x v="0"/>
    <x v="3"/>
    <x v="2"/>
    <n v="375000"/>
    <n v="2"/>
    <x v="0"/>
    <x v="0"/>
    <n v="750000"/>
  </r>
  <r>
    <s v="ORD0309"/>
    <x v="64"/>
    <x v="4"/>
    <x v="3"/>
    <x v="3"/>
    <x v="5"/>
    <n v="275000"/>
    <n v="1"/>
    <x v="1"/>
    <x v="0"/>
    <n v="275000"/>
  </r>
  <r>
    <s v="ORD0310"/>
    <x v="114"/>
    <x v="1"/>
    <x v="1"/>
    <x v="3"/>
    <x v="2"/>
    <n v="225000"/>
    <n v="2"/>
    <x v="0"/>
    <x v="0"/>
    <n v="450000"/>
  </r>
  <r>
    <s v="ORD0311"/>
    <x v="125"/>
    <x v="5"/>
    <x v="0"/>
    <x v="0"/>
    <x v="5"/>
    <n v="375000"/>
    <n v="2"/>
    <x v="1"/>
    <x v="1"/>
    <n v="750000"/>
  </r>
  <r>
    <s v="ORD0312"/>
    <x v="128"/>
    <x v="7"/>
    <x v="5"/>
    <x v="0"/>
    <x v="0"/>
    <n v="75000"/>
    <n v="2"/>
    <x v="0"/>
    <x v="1"/>
    <n v="150000"/>
  </r>
  <r>
    <s v="ORD0313"/>
    <x v="151"/>
    <x v="1"/>
    <x v="1"/>
    <x v="1"/>
    <x v="2"/>
    <n v="225000"/>
    <n v="3"/>
    <x v="0"/>
    <x v="1"/>
    <n v="675000"/>
  </r>
  <r>
    <s v="ORD0314"/>
    <x v="140"/>
    <x v="4"/>
    <x v="3"/>
    <x v="1"/>
    <x v="3"/>
    <n v="275000"/>
    <n v="1"/>
    <x v="0"/>
    <x v="1"/>
    <n v="275000"/>
  </r>
  <r>
    <s v="ORD0315"/>
    <x v="83"/>
    <x v="3"/>
    <x v="2"/>
    <x v="3"/>
    <x v="5"/>
    <n v="300000"/>
    <n v="1"/>
    <x v="1"/>
    <x v="0"/>
    <n v="300000"/>
  </r>
  <r>
    <s v="ORD0316"/>
    <x v="138"/>
    <x v="5"/>
    <x v="0"/>
    <x v="3"/>
    <x v="2"/>
    <n v="375000"/>
    <n v="3"/>
    <x v="1"/>
    <x v="0"/>
    <n v="1125000"/>
  </r>
  <r>
    <s v="ORD0317"/>
    <x v="152"/>
    <x v="6"/>
    <x v="4"/>
    <x v="1"/>
    <x v="4"/>
    <n v="250000"/>
    <n v="1"/>
    <x v="0"/>
    <x v="0"/>
    <n v="250000"/>
  </r>
  <r>
    <s v="ORD0318"/>
    <x v="41"/>
    <x v="3"/>
    <x v="2"/>
    <x v="2"/>
    <x v="1"/>
    <n v="300000"/>
    <n v="2"/>
    <x v="1"/>
    <x v="0"/>
    <n v="600000"/>
  </r>
  <r>
    <s v="ORD0319"/>
    <x v="117"/>
    <x v="6"/>
    <x v="4"/>
    <x v="3"/>
    <x v="5"/>
    <n v="250000"/>
    <n v="1"/>
    <x v="1"/>
    <x v="0"/>
    <n v="250000"/>
  </r>
  <r>
    <s v="ORD0320"/>
    <x v="153"/>
    <x v="0"/>
    <x v="0"/>
    <x v="0"/>
    <x v="0"/>
    <n v="350000"/>
    <n v="2"/>
    <x v="1"/>
    <x v="1"/>
    <n v="700000"/>
  </r>
  <r>
    <s v="ORD0321"/>
    <x v="117"/>
    <x v="7"/>
    <x v="5"/>
    <x v="1"/>
    <x v="5"/>
    <n v="75000"/>
    <n v="3"/>
    <x v="1"/>
    <x v="1"/>
    <n v="225000"/>
  </r>
  <r>
    <s v="ORD0322"/>
    <x v="154"/>
    <x v="7"/>
    <x v="5"/>
    <x v="0"/>
    <x v="1"/>
    <n v="75000"/>
    <n v="2"/>
    <x v="0"/>
    <x v="0"/>
    <n v="150000"/>
  </r>
  <r>
    <s v="ORD0323"/>
    <x v="36"/>
    <x v="7"/>
    <x v="5"/>
    <x v="3"/>
    <x v="0"/>
    <n v="75000"/>
    <n v="3"/>
    <x v="0"/>
    <x v="1"/>
    <n v="225000"/>
  </r>
  <r>
    <s v="ORD0324"/>
    <x v="131"/>
    <x v="7"/>
    <x v="5"/>
    <x v="3"/>
    <x v="3"/>
    <n v="75000"/>
    <n v="2"/>
    <x v="0"/>
    <x v="0"/>
    <n v="150000"/>
  </r>
  <r>
    <s v="ORD0325"/>
    <x v="100"/>
    <x v="6"/>
    <x v="4"/>
    <x v="3"/>
    <x v="1"/>
    <n v="250000"/>
    <n v="3"/>
    <x v="1"/>
    <x v="0"/>
    <n v="750000"/>
  </r>
  <r>
    <s v="ORD0326"/>
    <x v="55"/>
    <x v="3"/>
    <x v="2"/>
    <x v="3"/>
    <x v="1"/>
    <n v="300000"/>
    <n v="2"/>
    <x v="0"/>
    <x v="0"/>
    <n v="600000"/>
  </r>
  <r>
    <s v="ORD0327"/>
    <x v="42"/>
    <x v="7"/>
    <x v="5"/>
    <x v="2"/>
    <x v="4"/>
    <n v="75000"/>
    <n v="1"/>
    <x v="0"/>
    <x v="1"/>
    <n v="75000"/>
  </r>
  <r>
    <s v="ORD0328"/>
    <x v="12"/>
    <x v="0"/>
    <x v="0"/>
    <x v="0"/>
    <x v="2"/>
    <n v="350000"/>
    <n v="1"/>
    <x v="0"/>
    <x v="0"/>
    <n v="350000"/>
  </r>
  <r>
    <s v="ORD0329"/>
    <x v="155"/>
    <x v="7"/>
    <x v="5"/>
    <x v="0"/>
    <x v="4"/>
    <n v="75000"/>
    <n v="1"/>
    <x v="0"/>
    <x v="0"/>
    <n v="75000"/>
  </r>
  <r>
    <s v="ORD0330"/>
    <x v="123"/>
    <x v="6"/>
    <x v="4"/>
    <x v="2"/>
    <x v="1"/>
    <n v="250000"/>
    <n v="1"/>
    <x v="0"/>
    <x v="0"/>
    <n v="250000"/>
  </r>
  <r>
    <s v="ORD0331"/>
    <x v="156"/>
    <x v="4"/>
    <x v="3"/>
    <x v="0"/>
    <x v="3"/>
    <n v="275000"/>
    <n v="3"/>
    <x v="1"/>
    <x v="0"/>
    <n v="825000"/>
  </r>
  <r>
    <s v="ORD0332"/>
    <x v="23"/>
    <x v="6"/>
    <x v="4"/>
    <x v="3"/>
    <x v="4"/>
    <n v="250000"/>
    <n v="3"/>
    <x v="0"/>
    <x v="0"/>
    <n v="750000"/>
  </r>
  <r>
    <s v="ORD0333"/>
    <x v="5"/>
    <x v="5"/>
    <x v="0"/>
    <x v="0"/>
    <x v="3"/>
    <n v="375000"/>
    <n v="3"/>
    <x v="1"/>
    <x v="1"/>
    <n v="1125000"/>
  </r>
  <r>
    <s v="ORD0334"/>
    <x v="39"/>
    <x v="5"/>
    <x v="0"/>
    <x v="3"/>
    <x v="4"/>
    <n v="375000"/>
    <n v="3"/>
    <x v="1"/>
    <x v="0"/>
    <n v="1125000"/>
  </r>
  <r>
    <s v="ORD0335"/>
    <x v="128"/>
    <x v="3"/>
    <x v="2"/>
    <x v="2"/>
    <x v="1"/>
    <n v="300000"/>
    <n v="3"/>
    <x v="0"/>
    <x v="0"/>
    <n v="900000"/>
  </r>
  <r>
    <s v="ORD0336"/>
    <x v="142"/>
    <x v="5"/>
    <x v="0"/>
    <x v="1"/>
    <x v="5"/>
    <n v="375000"/>
    <n v="3"/>
    <x v="0"/>
    <x v="1"/>
    <n v="1125000"/>
  </r>
  <r>
    <s v="ORD0337"/>
    <x v="157"/>
    <x v="1"/>
    <x v="1"/>
    <x v="0"/>
    <x v="3"/>
    <n v="225000"/>
    <n v="2"/>
    <x v="1"/>
    <x v="0"/>
    <n v="450000"/>
  </r>
  <r>
    <s v="ORD0338"/>
    <x v="137"/>
    <x v="3"/>
    <x v="2"/>
    <x v="1"/>
    <x v="0"/>
    <n v="300000"/>
    <n v="2"/>
    <x v="0"/>
    <x v="1"/>
    <n v="600000"/>
  </r>
  <r>
    <s v="ORD0339"/>
    <x v="29"/>
    <x v="7"/>
    <x v="5"/>
    <x v="0"/>
    <x v="4"/>
    <n v="75000"/>
    <n v="1"/>
    <x v="0"/>
    <x v="0"/>
    <n v="75000"/>
  </r>
  <r>
    <s v="ORD0340"/>
    <x v="100"/>
    <x v="1"/>
    <x v="1"/>
    <x v="3"/>
    <x v="4"/>
    <n v="225000"/>
    <n v="3"/>
    <x v="0"/>
    <x v="0"/>
    <n v="675000"/>
  </r>
  <r>
    <s v="ORD0341"/>
    <x v="106"/>
    <x v="7"/>
    <x v="5"/>
    <x v="1"/>
    <x v="1"/>
    <n v="75000"/>
    <n v="1"/>
    <x v="0"/>
    <x v="1"/>
    <n v="75000"/>
  </r>
  <r>
    <s v="ORD0342"/>
    <x v="112"/>
    <x v="5"/>
    <x v="0"/>
    <x v="2"/>
    <x v="0"/>
    <n v="375000"/>
    <n v="3"/>
    <x v="0"/>
    <x v="1"/>
    <n v="1125000"/>
  </r>
  <r>
    <s v="ORD0343"/>
    <x v="147"/>
    <x v="3"/>
    <x v="2"/>
    <x v="2"/>
    <x v="3"/>
    <n v="300000"/>
    <n v="3"/>
    <x v="0"/>
    <x v="0"/>
    <n v="900000"/>
  </r>
  <r>
    <s v="ORD0344"/>
    <x v="19"/>
    <x v="2"/>
    <x v="1"/>
    <x v="0"/>
    <x v="1"/>
    <n v="240000"/>
    <n v="1"/>
    <x v="1"/>
    <x v="0"/>
    <n v="240000"/>
  </r>
  <r>
    <s v="ORD0345"/>
    <x v="53"/>
    <x v="6"/>
    <x v="4"/>
    <x v="2"/>
    <x v="5"/>
    <n v="250000"/>
    <n v="3"/>
    <x v="1"/>
    <x v="1"/>
    <n v="750000"/>
  </r>
  <r>
    <s v="ORD0346"/>
    <x v="3"/>
    <x v="0"/>
    <x v="0"/>
    <x v="2"/>
    <x v="1"/>
    <n v="350000"/>
    <n v="2"/>
    <x v="1"/>
    <x v="0"/>
    <n v="700000"/>
  </r>
  <r>
    <s v="ORD0347"/>
    <x v="154"/>
    <x v="6"/>
    <x v="4"/>
    <x v="0"/>
    <x v="4"/>
    <n v="250000"/>
    <n v="1"/>
    <x v="1"/>
    <x v="0"/>
    <n v="250000"/>
  </r>
  <r>
    <s v="ORD0348"/>
    <x v="123"/>
    <x v="6"/>
    <x v="4"/>
    <x v="0"/>
    <x v="0"/>
    <n v="250000"/>
    <n v="3"/>
    <x v="1"/>
    <x v="1"/>
    <n v="750000"/>
  </r>
  <r>
    <s v="ORD0349"/>
    <x v="38"/>
    <x v="2"/>
    <x v="1"/>
    <x v="1"/>
    <x v="1"/>
    <n v="240000"/>
    <n v="1"/>
    <x v="1"/>
    <x v="0"/>
    <n v="240000"/>
  </r>
  <r>
    <s v="ORD0350"/>
    <x v="25"/>
    <x v="6"/>
    <x v="4"/>
    <x v="0"/>
    <x v="2"/>
    <n v="250000"/>
    <n v="3"/>
    <x v="1"/>
    <x v="1"/>
    <n v="750000"/>
  </r>
  <r>
    <s v="ORD0351"/>
    <x v="98"/>
    <x v="7"/>
    <x v="5"/>
    <x v="0"/>
    <x v="5"/>
    <n v="75000"/>
    <n v="1"/>
    <x v="1"/>
    <x v="0"/>
    <n v="75000"/>
  </r>
  <r>
    <s v="ORD0352"/>
    <x v="34"/>
    <x v="6"/>
    <x v="4"/>
    <x v="0"/>
    <x v="0"/>
    <n v="250000"/>
    <n v="1"/>
    <x v="1"/>
    <x v="0"/>
    <n v="250000"/>
  </r>
  <r>
    <s v="ORD0353"/>
    <x v="50"/>
    <x v="6"/>
    <x v="4"/>
    <x v="1"/>
    <x v="1"/>
    <n v="250000"/>
    <n v="2"/>
    <x v="1"/>
    <x v="1"/>
    <n v="500000"/>
  </r>
  <r>
    <s v="ORD0354"/>
    <x v="148"/>
    <x v="7"/>
    <x v="5"/>
    <x v="1"/>
    <x v="1"/>
    <n v="75000"/>
    <n v="3"/>
    <x v="0"/>
    <x v="1"/>
    <n v="225000"/>
  </r>
  <r>
    <s v="ORD0355"/>
    <x v="118"/>
    <x v="3"/>
    <x v="2"/>
    <x v="1"/>
    <x v="4"/>
    <n v="300000"/>
    <n v="2"/>
    <x v="0"/>
    <x v="0"/>
    <n v="600000"/>
  </r>
  <r>
    <s v="ORD0356"/>
    <x v="158"/>
    <x v="4"/>
    <x v="3"/>
    <x v="1"/>
    <x v="0"/>
    <n v="275000"/>
    <n v="1"/>
    <x v="0"/>
    <x v="1"/>
    <n v="275000"/>
  </r>
  <r>
    <s v="ORD0357"/>
    <x v="77"/>
    <x v="0"/>
    <x v="0"/>
    <x v="2"/>
    <x v="3"/>
    <n v="350000"/>
    <n v="1"/>
    <x v="1"/>
    <x v="0"/>
    <n v="350000"/>
  </r>
  <r>
    <s v="ORD0358"/>
    <x v="109"/>
    <x v="6"/>
    <x v="4"/>
    <x v="0"/>
    <x v="0"/>
    <n v="250000"/>
    <n v="1"/>
    <x v="0"/>
    <x v="0"/>
    <n v="250000"/>
  </r>
  <r>
    <s v="ORD0359"/>
    <x v="98"/>
    <x v="7"/>
    <x v="5"/>
    <x v="3"/>
    <x v="2"/>
    <n v="75000"/>
    <n v="3"/>
    <x v="0"/>
    <x v="0"/>
    <n v="225000"/>
  </r>
  <r>
    <s v="ORD0360"/>
    <x v="136"/>
    <x v="1"/>
    <x v="1"/>
    <x v="1"/>
    <x v="3"/>
    <n v="225000"/>
    <n v="3"/>
    <x v="1"/>
    <x v="0"/>
    <n v="675000"/>
  </r>
  <r>
    <s v="ORD0361"/>
    <x v="120"/>
    <x v="4"/>
    <x v="3"/>
    <x v="2"/>
    <x v="2"/>
    <n v="275000"/>
    <n v="2"/>
    <x v="0"/>
    <x v="1"/>
    <n v="550000"/>
  </r>
  <r>
    <s v="ORD0362"/>
    <x v="101"/>
    <x v="1"/>
    <x v="1"/>
    <x v="2"/>
    <x v="2"/>
    <n v="225000"/>
    <n v="3"/>
    <x v="0"/>
    <x v="1"/>
    <n v="675000"/>
  </r>
  <r>
    <s v="ORD0363"/>
    <x v="89"/>
    <x v="4"/>
    <x v="3"/>
    <x v="2"/>
    <x v="2"/>
    <n v="275000"/>
    <n v="3"/>
    <x v="1"/>
    <x v="1"/>
    <n v="825000"/>
  </r>
  <r>
    <s v="ORD0364"/>
    <x v="134"/>
    <x v="4"/>
    <x v="3"/>
    <x v="2"/>
    <x v="0"/>
    <n v="275000"/>
    <n v="3"/>
    <x v="0"/>
    <x v="1"/>
    <n v="825000"/>
  </r>
  <r>
    <s v="ORD0365"/>
    <x v="44"/>
    <x v="7"/>
    <x v="5"/>
    <x v="1"/>
    <x v="0"/>
    <n v="75000"/>
    <n v="2"/>
    <x v="1"/>
    <x v="1"/>
    <n v="150000"/>
  </r>
  <r>
    <s v="ORD0366"/>
    <x v="42"/>
    <x v="0"/>
    <x v="0"/>
    <x v="1"/>
    <x v="4"/>
    <n v="350000"/>
    <n v="1"/>
    <x v="0"/>
    <x v="1"/>
    <n v="350000"/>
  </r>
  <r>
    <s v="ORD0367"/>
    <x v="97"/>
    <x v="3"/>
    <x v="2"/>
    <x v="1"/>
    <x v="3"/>
    <n v="300000"/>
    <n v="2"/>
    <x v="1"/>
    <x v="1"/>
    <n v="600000"/>
  </r>
  <r>
    <s v="ORD0368"/>
    <x v="145"/>
    <x v="1"/>
    <x v="1"/>
    <x v="1"/>
    <x v="5"/>
    <n v="225000"/>
    <n v="3"/>
    <x v="0"/>
    <x v="0"/>
    <n v="675000"/>
  </r>
  <r>
    <s v="ORD0369"/>
    <x v="159"/>
    <x v="5"/>
    <x v="0"/>
    <x v="0"/>
    <x v="5"/>
    <n v="375000"/>
    <n v="1"/>
    <x v="1"/>
    <x v="0"/>
    <n v="375000"/>
  </r>
  <r>
    <s v="ORD0370"/>
    <x v="118"/>
    <x v="6"/>
    <x v="4"/>
    <x v="3"/>
    <x v="3"/>
    <n v="250000"/>
    <n v="1"/>
    <x v="1"/>
    <x v="1"/>
    <n v="250000"/>
  </r>
  <r>
    <s v="ORD0371"/>
    <x v="101"/>
    <x v="6"/>
    <x v="4"/>
    <x v="0"/>
    <x v="4"/>
    <n v="250000"/>
    <n v="3"/>
    <x v="1"/>
    <x v="0"/>
    <n v="750000"/>
  </r>
  <r>
    <s v="ORD0372"/>
    <x v="29"/>
    <x v="2"/>
    <x v="1"/>
    <x v="1"/>
    <x v="0"/>
    <n v="240000"/>
    <n v="3"/>
    <x v="1"/>
    <x v="0"/>
    <n v="720000"/>
  </r>
  <r>
    <s v="ORD0373"/>
    <x v="151"/>
    <x v="1"/>
    <x v="1"/>
    <x v="0"/>
    <x v="1"/>
    <n v="225000"/>
    <n v="2"/>
    <x v="0"/>
    <x v="1"/>
    <n v="450000"/>
  </r>
  <r>
    <s v="ORD0374"/>
    <x v="146"/>
    <x v="0"/>
    <x v="0"/>
    <x v="0"/>
    <x v="4"/>
    <n v="350000"/>
    <n v="2"/>
    <x v="0"/>
    <x v="1"/>
    <n v="700000"/>
  </r>
  <r>
    <s v="ORD0375"/>
    <x v="129"/>
    <x v="7"/>
    <x v="5"/>
    <x v="2"/>
    <x v="5"/>
    <n v="75000"/>
    <n v="2"/>
    <x v="1"/>
    <x v="1"/>
    <n v="150000"/>
  </r>
  <r>
    <s v="ORD0376"/>
    <x v="58"/>
    <x v="4"/>
    <x v="3"/>
    <x v="2"/>
    <x v="3"/>
    <n v="275000"/>
    <n v="3"/>
    <x v="1"/>
    <x v="0"/>
    <n v="825000"/>
  </r>
  <r>
    <s v="ORD0377"/>
    <x v="94"/>
    <x v="6"/>
    <x v="4"/>
    <x v="3"/>
    <x v="1"/>
    <n v="250000"/>
    <n v="1"/>
    <x v="0"/>
    <x v="1"/>
    <n v="250000"/>
  </r>
  <r>
    <s v="ORD0378"/>
    <x v="97"/>
    <x v="2"/>
    <x v="1"/>
    <x v="1"/>
    <x v="4"/>
    <n v="240000"/>
    <n v="1"/>
    <x v="1"/>
    <x v="1"/>
    <n v="240000"/>
  </r>
  <r>
    <s v="ORD0379"/>
    <x v="37"/>
    <x v="4"/>
    <x v="3"/>
    <x v="3"/>
    <x v="4"/>
    <n v="275000"/>
    <n v="3"/>
    <x v="0"/>
    <x v="1"/>
    <n v="825000"/>
  </r>
  <r>
    <s v="ORD0380"/>
    <x v="61"/>
    <x v="1"/>
    <x v="1"/>
    <x v="0"/>
    <x v="3"/>
    <n v="225000"/>
    <n v="1"/>
    <x v="1"/>
    <x v="0"/>
    <n v="225000"/>
  </r>
  <r>
    <s v="ORD0381"/>
    <x v="56"/>
    <x v="2"/>
    <x v="1"/>
    <x v="3"/>
    <x v="1"/>
    <n v="240000"/>
    <n v="2"/>
    <x v="1"/>
    <x v="1"/>
    <n v="480000"/>
  </r>
  <r>
    <s v="ORD0382"/>
    <x v="5"/>
    <x v="2"/>
    <x v="1"/>
    <x v="2"/>
    <x v="1"/>
    <n v="240000"/>
    <n v="1"/>
    <x v="0"/>
    <x v="1"/>
    <n v="240000"/>
  </r>
  <r>
    <s v="ORD0383"/>
    <x v="160"/>
    <x v="0"/>
    <x v="0"/>
    <x v="3"/>
    <x v="5"/>
    <n v="350000"/>
    <n v="2"/>
    <x v="1"/>
    <x v="1"/>
    <n v="700000"/>
  </r>
  <r>
    <s v="ORD0384"/>
    <x v="135"/>
    <x v="0"/>
    <x v="0"/>
    <x v="3"/>
    <x v="2"/>
    <n v="350000"/>
    <n v="1"/>
    <x v="1"/>
    <x v="0"/>
    <n v="350000"/>
  </r>
  <r>
    <s v="ORD0385"/>
    <x v="9"/>
    <x v="4"/>
    <x v="3"/>
    <x v="3"/>
    <x v="4"/>
    <n v="275000"/>
    <n v="1"/>
    <x v="1"/>
    <x v="1"/>
    <n v="275000"/>
  </r>
  <r>
    <s v="ORD0386"/>
    <x v="11"/>
    <x v="6"/>
    <x v="4"/>
    <x v="0"/>
    <x v="3"/>
    <n v="250000"/>
    <n v="1"/>
    <x v="1"/>
    <x v="0"/>
    <n v="250000"/>
  </r>
  <r>
    <s v="ORD0387"/>
    <x v="148"/>
    <x v="4"/>
    <x v="3"/>
    <x v="2"/>
    <x v="3"/>
    <n v="275000"/>
    <n v="1"/>
    <x v="0"/>
    <x v="1"/>
    <n v="275000"/>
  </r>
  <r>
    <s v="ORD0388"/>
    <x v="150"/>
    <x v="2"/>
    <x v="1"/>
    <x v="2"/>
    <x v="1"/>
    <n v="240000"/>
    <n v="2"/>
    <x v="0"/>
    <x v="0"/>
    <n v="480000"/>
  </r>
  <r>
    <s v="ORD0389"/>
    <x v="161"/>
    <x v="1"/>
    <x v="1"/>
    <x v="1"/>
    <x v="3"/>
    <n v="225000"/>
    <n v="1"/>
    <x v="0"/>
    <x v="0"/>
    <n v="225000"/>
  </r>
  <r>
    <s v="ORD0390"/>
    <x v="162"/>
    <x v="6"/>
    <x v="4"/>
    <x v="3"/>
    <x v="1"/>
    <n v="250000"/>
    <n v="2"/>
    <x v="0"/>
    <x v="1"/>
    <n v="500000"/>
  </r>
  <r>
    <s v="ORD0391"/>
    <x v="15"/>
    <x v="6"/>
    <x v="4"/>
    <x v="0"/>
    <x v="2"/>
    <n v="250000"/>
    <n v="1"/>
    <x v="0"/>
    <x v="0"/>
    <n v="250000"/>
  </r>
  <r>
    <s v="ORD0392"/>
    <x v="112"/>
    <x v="3"/>
    <x v="2"/>
    <x v="3"/>
    <x v="0"/>
    <n v="300000"/>
    <n v="2"/>
    <x v="0"/>
    <x v="1"/>
    <n v="600000"/>
  </r>
  <r>
    <s v="ORD0393"/>
    <x v="110"/>
    <x v="6"/>
    <x v="4"/>
    <x v="3"/>
    <x v="0"/>
    <n v="250000"/>
    <n v="1"/>
    <x v="0"/>
    <x v="1"/>
    <n v="250000"/>
  </r>
  <r>
    <s v="ORD0394"/>
    <x v="38"/>
    <x v="5"/>
    <x v="0"/>
    <x v="1"/>
    <x v="4"/>
    <n v="375000"/>
    <n v="3"/>
    <x v="0"/>
    <x v="0"/>
    <n v="1125000"/>
  </r>
  <r>
    <s v="ORD0395"/>
    <x v="132"/>
    <x v="0"/>
    <x v="0"/>
    <x v="2"/>
    <x v="1"/>
    <n v="350000"/>
    <n v="3"/>
    <x v="1"/>
    <x v="1"/>
    <n v="1050000"/>
  </r>
  <r>
    <s v="ORD0396"/>
    <x v="25"/>
    <x v="7"/>
    <x v="5"/>
    <x v="0"/>
    <x v="5"/>
    <n v="75000"/>
    <n v="1"/>
    <x v="1"/>
    <x v="1"/>
    <n v="75000"/>
  </r>
  <r>
    <s v="ORD0397"/>
    <x v="163"/>
    <x v="3"/>
    <x v="2"/>
    <x v="3"/>
    <x v="0"/>
    <n v="300000"/>
    <n v="1"/>
    <x v="1"/>
    <x v="1"/>
    <n v="300000"/>
  </r>
  <r>
    <s v="ORD0398"/>
    <x v="123"/>
    <x v="1"/>
    <x v="1"/>
    <x v="0"/>
    <x v="3"/>
    <n v="225000"/>
    <n v="1"/>
    <x v="1"/>
    <x v="1"/>
    <n v="225000"/>
  </r>
  <r>
    <s v="ORD0399"/>
    <x v="25"/>
    <x v="2"/>
    <x v="1"/>
    <x v="2"/>
    <x v="0"/>
    <n v="240000"/>
    <n v="2"/>
    <x v="1"/>
    <x v="0"/>
    <n v="480000"/>
  </r>
  <r>
    <s v="ORD0400"/>
    <x v="76"/>
    <x v="6"/>
    <x v="4"/>
    <x v="0"/>
    <x v="0"/>
    <n v="250000"/>
    <n v="1"/>
    <x v="1"/>
    <x v="1"/>
    <n v="250000"/>
  </r>
  <r>
    <s v="ORD0401"/>
    <x v="36"/>
    <x v="6"/>
    <x v="4"/>
    <x v="3"/>
    <x v="1"/>
    <n v="250000"/>
    <n v="1"/>
    <x v="0"/>
    <x v="1"/>
    <n v="250000"/>
  </r>
  <r>
    <s v="ORD0402"/>
    <x v="120"/>
    <x v="3"/>
    <x v="2"/>
    <x v="1"/>
    <x v="0"/>
    <n v="300000"/>
    <n v="1"/>
    <x v="1"/>
    <x v="0"/>
    <n v="300000"/>
  </r>
  <r>
    <s v="ORD0403"/>
    <x v="16"/>
    <x v="3"/>
    <x v="2"/>
    <x v="1"/>
    <x v="5"/>
    <n v="300000"/>
    <n v="2"/>
    <x v="1"/>
    <x v="0"/>
    <n v="600000"/>
  </r>
  <r>
    <s v="ORD0404"/>
    <x v="164"/>
    <x v="7"/>
    <x v="5"/>
    <x v="0"/>
    <x v="1"/>
    <n v="75000"/>
    <n v="3"/>
    <x v="0"/>
    <x v="1"/>
    <n v="225000"/>
  </r>
  <r>
    <s v="ORD0405"/>
    <x v="123"/>
    <x v="7"/>
    <x v="5"/>
    <x v="2"/>
    <x v="5"/>
    <n v="75000"/>
    <n v="2"/>
    <x v="1"/>
    <x v="1"/>
    <n v="150000"/>
  </r>
  <r>
    <s v="ORD0406"/>
    <x v="24"/>
    <x v="4"/>
    <x v="3"/>
    <x v="0"/>
    <x v="3"/>
    <n v="275000"/>
    <n v="3"/>
    <x v="0"/>
    <x v="0"/>
    <n v="825000"/>
  </r>
  <r>
    <s v="ORD0407"/>
    <x v="16"/>
    <x v="0"/>
    <x v="0"/>
    <x v="2"/>
    <x v="3"/>
    <n v="350000"/>
    <n v="2"/>
    <x v="1"/>
    <x v="1"/>
    <n v="700000"/>
  </r>
  <r>
    <s v="ORD0408"/>
    <x v="17"/>
    <x v="0"/>
    <x v="0"/>
    <x v="1"/>
    <x v="5"/>
    <n v="350000"/>
    <n v="1"/>
    <x v="0"/>
    <x v="1"/>
    <n v="350000"/>
  </r>
  <r>
    <s v="ORD0409"/>
    <x v="10"/>
    <x v="0"/>
    <x v="0"/>
    <x v="0"/>
    <x v="5"/>
    <n v="350000"/>
    <n v="3"/>
    <x v="0"/>
    <x v="1"/>
    <n v="1050000"/>
  </r>
  <r>
    <s v="ORD0410"/>
    <x v="165"/>
    <x v="4"/>
    <x v="3"/>
    <x v="1"/>
    <x v="2"/>
    <n v="275000"/>
    <n v="2"/>
    <x v="1"/>
    <x v="1"/>
    <n v="550000"/>
  </r>
  <r>
    <s v="ORD0411"/>
    <x v="87"/>
    <x v="6"/>
    <x v="4"/>
    <x v="2"/>
    <x v="2"/>
    <n v="250000"/>
    <n v="1"/>
    <x v="1"/>
    <x v="1"/>
    <n v="250000"/>
  </r>
  <r>
    <s v="ORD0412"/>
    <x v="111"/>
    <x v="5"/>
    <x v="0"/>
    <x v="2"/>
    <x v="1"/>
    <n v="375000"/>
    <n v="2"/>
    <x v="1"/>
    <x v="0"/>
    <n v="750000"/>
  </r>
  <r>
    <s v="ORD0413"/>
    <x v="7"/>
    <x v="0"/>
    <x v="0"/>
    <x v="1"/>
    <x v="0"/>
    <n v="350000"/>
    <n v="2"/>
    <x v="0"/>
    <x v="0"/>
    <n v="700000"/>
  </r>
  <r>
    <s v="ORD0414"/>
    <x v="123"/>
    <x v="7"/>
    <x v="5"/>
    <x v="1"/>
    <x v="4"/>
    <n v="75000"/>
    <n v="1"/>
    <x v="1"/>
    <x v="1"/>
    <n v="75000"/>
  </r>
  <r>
    <s v="ORD0415"/>
    <x v="74"/>
    <x v="2"/>
    <x v="1"/>
    <x v="3"/>
    <x v="4"/>
    <n v="240000"/>
    <n v="2"/>
    <x v="1"/>
    <x v="1"/>
    <n v="480000"/>
  </r>
  <r>
    <s v="ORD0416"/>
    <x v="15"/>
    <x v="5"/>
    <x v="0"/>
    <x v="2"/>
    <x v="1"/>
    <n v="375000"/>
    <n v="2"/>
    <x v="0"/>
    <x v="0"/>
    <n v="750000"/>
  </r>
  <r>
    <s v="ORD0417"/>
    <x v="1"/>
    <x v="1"/>
    <x v="1"/>
    <x v="3"/>
    <x v="3"/>
    <n v="225000"/>
    <n v="3"/>
    <x v="0"/>
    <x v="0"/>
    <n v="675000"/>
  </r>
  <r>
    <s v="ORD0418"/>
    <x v="146"/>
    <x v="7"/>
    <x v="5"/>
    <x v="3"/>
    <x v="4"/>
    <n v="75000"/>
    <n v="2"/>
    <x v="1"/>
    <x v="0"/>
    <n v="150000"/>
  </r>
  <r>
    <s v="ORD0419"/>
    <x v="51"/>
    <x v="5"/>
    <x v="0"/>
    <x v="2"/>
    <x v="3"/>
    <n v="375000"/>
    <n v="3"/>
    <x v="0"/>
    <x v="1"/>
    <n v="1125000"/>
  </r>
  <r>
    <s v="ORD0420"/>
    <x v="13"/>
    <x v="3"/>
    <x v="2"/>
    <x v="3"/>
    <x v="4"/>
    <n v="300000"/>
    <n v="3"/>
    <x v="1"/>
    <x v="0"/>
    <n v="900000"/>
  </r>
  <r>
    <s v="ORD0421"/>
    <x v="157"/>
    <x v="5"/>
    <x v="0"/>
    <x v="1"/>
    <x v="0"/>
    <n v="375000"/>
    <n v="2"/>
    <x v="1"/>
    <x v="1"/>
    <n v="750000"/>
  </r>
  <r>
    <s v="ORD0422"/>
    <x v="39"/>
    <x v="5"/>
    <x v="0"/>
    <x v="2"/>
    <x v="2"/>
    <n v="375000"/>
    <n v="1"/>
    <x v="1"/>
    <x v="1"/>
    <n v="375000"/>
  </r>
  <r>
    <s v="ORD0423"/>
    <x v="33"/>
    <x v="5"/>
    <x v="0"/>
    <x v="3"/>
    <x v="2"/>
    <n v="375000"/>
    <n v="2"/>
    <x v="1"/>
    <x v="0"/>
    <n v="750000"/>
  </r>
  <r>
    <s v="ORD0424"/>
    <x v="136"/>
    <x v="6"/>
    <x v="4"/>
    <x v="3"/>
    <x v="3"/>
    <n v="250000"/>
    <n v="1"/>
    <x v="0"/>
    <x v="0"/>
    <n v="250000"/>
  </r>
  <r>
    <s v="ORD0425"/>
    <x v="166"/>
    <x v="4"/>
    <x v="3"/>
    <x v="2"/>
    <x v="4"/>
    <n v="275000"/>
    <n v="1"/>
    <x v="1"/>
    <x v="0"/>
    <n v="275000"/>
  </r>
  <r>
    <s v="ORD0426"/>
    <x v="1"/>
    <x v="3"/>
    <x v="2"/>
    <x v="2"/>
    <x v="2"/>
    <n v="300000"/>
    <n v="2"/>
    <x v="0"/>
    <x v="1"/>
    <n v="600000"/>
  </r>
  <r>
    <s v="ORD0427"/>
    <x v="24"/>
    <x v="7"/>
    <x v="5"/>
    <x v="0"/>
    <x v="2"/>
    <n v="75000"/>
    <n v="2"/>
    <x v="1"/>
    <x v="1"/>
    <n v="150000"/>
  </r>
  <r>
    <s v="ORD0428"/>
    <x v="15"/>
    <x v="1"/>
    <x v="1"/>
    <x v="2"/>
    <x v="5"/>
    <n v="225000"/>
    <n v="3"/>
    <x v="1"/>
    <x v="1"/>
    <n v="675000"/>
  </r>
  <r>
    <s v="ORD0429"/>
    <x v="128"/>
    <x v="0"/>
    <x v="0"/>
    <x v="0"/>
    <x v="3"/>
    <n v="350000"/>
    <n v="3"/>
    <x v="1"/>
    <x v="0"/>
    <n v="1050000"/>
  </r>
  <r>
    <s v="ORD0430"/>
    <x v="62"/>
    <x v="2"/>
    <x v="1"/>
    <x v="3"/>
    <x v="1"/>
    <n v="240000"/>
    <n v="1"/>
    <x v="1"/>
    <x v="0"/>
    <n v="240000"/>
  </r>
  <r>
    <s v="ORD0431"/>
    <x v="102"/>
    <x v="6"/>
    <x v="4"/>
    <x v="0"/>
    <x v="4"/>
    <n v="250000"/>
    <n v="3"/>
    <x v="0"/>
    <x v="0"/>
    <n v="750000"/>
  </r>
  <r>
    <s v="ORD0432"/>
    <x v="95"/>
    <x v="2"/>
    <x v="1"/>
    <x v="3"/>
    <x v="4"/>
    <n v="240000"/>
    <n v="3"/>
    <x v="0"/>
    <x v="0"/>
    <n v="720000"/>
  </r>
  <r>
    <s v="ORD0433"/>
    <x v="48"/>
    <x v="1"/>
    <x v="1"/>
    <x v="0"/>
    <x v="0"/>
    <n v="225000"/>
    <n v="2"/>
    <x v="0"/>
    <x v="1"/>
    <n v="450000"/>
  </r>
  <r>
    <s v="ORD0434"/>
    <x v="26"/>
    <x v="4"/>
    <x v="3"/>
    <x v="3"/>
    <x v="2"/>
    <n v="275000"/>
    <n v="1"/>
    <x v="1"/>
    <x v="0"/>
    <n v="275000"/>
  </r>
  <r>
    <s v="ORD0435"/>
    <x v="104"/>
    <x v="1"/>
    <x v="1"/>
    <x v="1"/>
    <x v="4"/>
    <n v="225000"/>
    <n v="1"/>
    <x v="1"/>
    <x v="0"/>
    <n v="225000"/>
  </r>
  <r>
    <s v="ORD0436"/>
    <x v="154"/>
    <x v="7"/>
    <x v="5"/>
    <x v="1"/>
    <x v="0"/>
    <n v="75000"/>
    <n v="3"/>
    <x v="1"/>
    <x v="0"/>
    <n v="225000"/>
  </r>
  <r>
    <s v="ORD0437"/>
    <x v="67"/>
    <x v="1"/>
    <x v="1"/>
    <x v="2"/>
    <x v="5"/>
    <n v="225000"/>
    <n v="2"/>
    <x v="0"/>
    <x v="0"/>
    <n v="450000"/>
  </r>
  <r>
    <s v="ORD0438"/>
    <x v="94"/>
    <x v="5"/>
    <x v="0"/>
    <x v="1"/>
    <x v="5"/>
    <n v="375000"/>
    <n v="3"/>
    <x v="0"/>
    <x v="0"/>
    <n v="1125000"/>
  </r>
  <r>
    <s v="ORD0439"/>
    <x v="78"/>
    <x v="3"/>
    <x v="2"/>
    <x v="0"/>
    <x v="5"/>
    <n v="300000"/>
    <n v="2"/>
    <x v="0"/>
    <x v="0"/>
    <n v="600000"/>
  </r>
  <r>
    <s v="ORD0440"/>
    <x v="1"/>
    <x v="0"/>
    <x v="0"/>
    <x v="0"/>
    <x v="4"/>
    <n v="350000"/>
    <n v="3"/>
    <x v="0"/>
    <x v="1"/>
    <n v="1050000"/>
  </r>
  <r>
    <s v="ORD0441"/>
    <x v="162"/>
    <x v="5"/>
    <x v="0"/>
    <x v="3"/>
    <x v="3"/>
    <n v="375000"/>
    <n v="2"/>
    <x v="0"/>
    <x v="0"/>
    <n v="750000"/>
  </r>
  <r>
    <s v="ORD0442"/>
    <x v="134"/>
    <x v="7"/>
    <x v="5"/>
    <x v="3"/>
    <x v="4"/>
    <n v="75000"/>
    <n v="1"/>
    <x v="1"/>
    <x v="0"/>
    <n v="75000"/>
  </r>
  <r>
    <s v="ORD0443"/>
    <x v="9"/>
    <x v="3"/>
    <x v="2"/>
    <x v="3"/>
    <x v="3"/>
    <n v="300000"/>
    <n v="3"/>
    <x v="1"/>
    <x v="0"/>
    <n v="900000"/>
  </r>
  <r>
    <s v="ORD0444"/>
    <x v="98"/>
    <x v="1"/>
    <x v="1"/>
    <x v="3"/>
    <x v="3"/>
    <n v="225000"/>
    <n v="3"/>
    <x v="1"/>
    <x v="1"/>
    <n v="675000"/>
  </r>
  <r>
    <s v="ORD0445"/>
    <x v="12"/>
    <x v="3"/>
    <x v="2"/>
    <x v="3"/>
    <x v="2"/>
    <n v="300000"/>
    <n v="2"/>
    <x v="1"/>
    <x v="1"/>
    <n v="600000"/>
  </r>
  <r>
    <s v="ORD0446"/>
    <x v="146"/>
    <x v="0"/>
    <x v="0"/>
    <x v="3"/>
    <x v="3"/>
    <n v="350000"/>
    <n v="1"/>
    <x v="1"/>
    <x v="0"/>
    <n v="350000"/>
  </r>
  <r>
    <s v="ORD0447"/>
    <x v="4"/>
    <x v="4"/>
    <x v="3"/>
    <x v="3"/>
    <x v="2"/>
    <n v="275000"/>
    <n v="3"/>
    <x v="0"/>
    <x v="1"/>
    <n v="825000"/>
  </r>
  <r>
    <s v="ORD0448"/>
    <x v="145"/>
    <x v="4"/>
    <x v="3"/>
    <x v="2"/>
    <x v="4"/>
    <n v="275000"/>
    <n v="1"/>
    <x v="1"/>
    <x v="1"/>
    <n v="275000"/>
  </r>
  <r>
    <s v="ORD0449"/>
    <x v="75"/>
    <x v="6"/>
    <x v="4"/>
    <x v="2"/>
    <x v="0"/>
    <n v="250000"/>
    <n v="1"/>
    <x v="0"/>
    <x v="1"/>
    <n v="250000"/>
  </r>
  <r>
    <s v="ORD0450"/>
    <x v="132"/>
    <x v="6"/>
    <x v="4"/>
    <x v="2"/>
    <x v="5"/>
    <n v="250000"/>
    <n v="2"/>
    <x v="1"/>
    <x v="0"/>
    <n v="500000"/>
  </r>
  <r>
    <s v="ORD0451"/>
    <x v="89"/>
    <x v="2"/>
    <x v="1"/>
    <x v="3"/>
    <x v="3"/>
    <n v="240000"/>
    <n v="3"/>
    <x v="1"/>
    <x v="1"/>
    <n v="720000"/>
  </r>
  <r>
    <s v="ORD0452"/>
    <x v="88"/>
    <x v="7"/>
    <x v="5"/>
    <x v="1"/>
    <x v="3"/>
    <n v="75000"/>
    <n v="2"/>
    <x v="0"/>
    <x v="0"/>
    <n v="150000"/>
  </r>
  <r>
    <s v="ORD0453"/>
    <x v="53"/>
    <x v="1"/>
    <x v="1"/>
    <x v="0"/>
    <x v="2"/>
    <n v="225000"/>
    <n v="1"/>
    <x v="1"/>
    <x v="1"/>
    <n v="225000"/>
  </r>
  <r>
    <s v="ORD0454"/>
    <x v="48"/>
    <x v="2"/>
    <x v="1"/>
    <x v="1"/>
    <x v="0"/>
    <n v="240000"/>
    <n v="1"/>
    <x v="0"/>
    <x v="1"/>
    <n v="240000"/>
  </r>
  <r>
    <s v="ORD0455"/>
    <x v="142"/>
    <x v="7"/>
    <x v="5"/>
    <x v="3"/>
    <x v="3"/>
    <n v="75000"/>
    <n v="1"/>
    <x v="1"/>
    <x v="1"/>
    <n v="75000"/>
  </r>
  <r>
    <s v="ORD0456"/>
    <x v="144"/>
    <x v="0"/>
    <x v="0"/>
    <x v="2"/>
    <x v="0"/>
    <n v="350000"/>
    <n v="1"/>
    <x v="1"/>
    <x v="0"/>
    <n v="350000"/>
  </r>
  <r>
    <s v="ORD0457"/>
    <x v="139"/>
    <x v="1"/>
    <x v="1"/>
    <x v="3"/>
    <x v="0"/>
    <n v="225000"/>
    <n v="1"/>
    <x v="1"/>
    <x v="0"/>
    <n v="225000"/>
  </r>
  <r>
    <s v="ORD0458"/>
    <x v="147"/>
    <x v="0"/>
    <x v="0"/>
    <x v="1"/>
    <x v="1"/>
    <n v="350000"/>
    <n v="2"/>
    <x v="0"/>
    <x v="1"/>
    <n v="700000"/>
  </r>
  <r>
    <s v="ORD0459"/>
    <x v="52"/>
    <x v="6"/>
    <x v="4"/>
    <x v="0"/>
    <x v="1"/>
    <n v="250000"/>
    <n v="3"/>
    <x v="0"/>
    <x v="1"/>
    <n v="750000"/>
  </r>
  <r>
    <s v="ORD0460"/>
    <x v="18"/>
    <x v="6"/>
    <x v="4"/>
    <x v="3"/>
    <x v="3"/>
    <n v="250000"/>
    <n v="2"/>
    <x v="0"/>
    <x v="1"/>
    <n v="500000"/>
  </r>
  <r>
    <s v="ORD0461"/>
    <x v="154"/>
    <x v="1"/>
    <x v="1"/>
    <x v="0"/>
    <x v="4"/>
    <n v="225000"/>
    <n v="3"/>
    <x v="1"/>
    <x v="0"/>
    <n v="675000"/>
  </r>
  <r>
    <s v="ORD0462"/>
    <x v="4"/>
    <x v="4"/>
    <x v="3"/>
    <x v="2"/>
    <x v="3"/>
    <n v="275000"/>
    <n v="1"/>
    <x v="1"/>
    <x v="1"/>
    <n v="275000"/>
  </r>
  <r>
    <s v="ORD0463"/>
    <x v="26"/>
    <x v="6"/>
    <x v="4"/>
    <x v="1"/>
    <x v="0"/>
    <n v="250000"/>
    <n v="2"/>
    <x v="1"/>
    <x v="1"/>
    <n v="500000"/>
  </r>
  <r>
    <s v="ORD0464"/>
    <x v="147"/>
    <x v="3"/>
    <x v="2"/>
    <x v="2"/>
    <x v="3"/>
    <n v="300000"/>
    <n v="1"/>
    <x v="1"/>
    <x v="0"/>
    <n v="300000"/>
  </r>
  <r>
    <s v="ORD0465"/>
    <x v="126"/>
    <x v="4"/>
    <x v="3"/>
    <x v="3"/>
    <x v="4"/>
    <n v="275000"/>
    <n v="3"/>
    <x v="1"/>
    <x v="0"/>
    <n v="825000"/>
  </r>
  <r>
    <s v="ORD0466"/>
    <x v="84"/>
    <x v="2"/>
    <x v="1"/>
    <x v="3"/>
    <x v="5"/>
    <n v="240000"/>
    <n v="3"/>
    <x v="0"/>
    <x v="1"/>
    <n v="720000"/>
  </r>
  <r>
    <s v="ORD0467"/>
    <x v="167"/>
    <x v="7"/>
    <x v="5"/>
    <x v="3"/>
    <x v="1"/>
    <n v="75000"/>
    <n v="3"/>
    <x v="0"/>
    <x v="0"/>
    <n v="225000"/>
  </r>
  <r>
    <s v="ORD0468"/>
    <x v="58"/>
    <x v="0"/>
    <x v="0"/>
    <x v="1"/>
    <x v="1"/>
    <n v="350000"/>
    <n v="3"/>
    <x v="0"/>
    <x v="1"/>
    <n v="1050000"/>
  </r>
  <r>
    <s v="ORD0469"/>
    <x v="44"/>
    <x v="5"/>
    <x v="0"/>
    <x v="1"/>
    <x v="1"/>
    <n v="375000"/>
    <n v="1"/>
    <x v="1"/>
    <x v="0"/>
    <n v="375000"/>
  </r>
  <r>
    <s v="ORD0470"/>
    <x v="68"/>
    <x v="0"/>
    <x v="0"/>
    <x v="1"/>
    <x v="2"/>
    <n v="350000"/>
    <n v="1"/>
    <x v="0"/>
    <x v="0"/>
    <n v="350000"/>
  </r>
  <r>
    <s v="ORD0471"/>
    <x v="17"/>
    <x v="7"/>
    <x v="5"/>
    <x v="0"/>
    <x v="3"/>
    <n v="75000"/>
    <n v="1"/>
    <x v="1"/>
    <x v="0"/>
    <n v="75000"/>
  </r>
  <r>
    <s v="ORD0472"/>
    <x v="137"/>
    <x v="4"/>
    <x v="3"/>
    <x v="0"/>
    <x v="2"/>
    <n v="275000"/>
    <n v="3"/>
    <x v="0"/>
    <x v="1"/>
    <n v="825000"/>
  </r>
  <r>
    <s v="ORD0473"/>
    <x v="92"/>
    <x v="4"/>
    <x v="3"/>
    <x v="0"/>
    <x v="5"/>
    <n v="275000"/>
    <n v="2"/>
    <x v="1"/>
    <x v="1"/>
    <n v="550000"/>
  </r>
  <r>
    <s v="ORD0474"/>
    <x v="149"/>
    <x v="4"/>
    <x v="3"/>
    <x v="0"/>
    <x v="1"/>
    <n v="275000"/>
    <n v="3"/>
    <x v="1"/>
    <x v="1"/>
    <n v="825000"/>
  </r>
  <r>
    <s v="ORD0475"/>
    <x v="80"/>
    <x v="1"/>
    <x v="1"/>
    <x v="2"/>
    <x v="1"/>
    <n v="225000"/>
    <n v="1"/>
    <x v="0"/>
    <x v="1"/>
    <n v="225000"/>
  </r>
  <r>
    <s v="ORD0476"/>
    <x v="113"/>
    <x v="2"/>
    <x v="1"/>
    <x v="3"/>
    <x v="1"/>
    <n v="240000"/>
    <n v="2"/>
    <x v="1"/>
    <x v="1"/>
    <n v="480000"/>
  </r>
  <r>
    <s v="ORD0477"/>
    <x v="54"/>
    <x v="4"/>
    <x v="3"/>
    <x v="1"/>
    <x v="3"/>
    <n v="275000"/>
    <n v="2"/>
    <x v="1"/>
    <x v="0"/>
    <n v="550000"/>
  </r>
  <r>
    <s v="ORD0478"/>
    <x v="126"/>
    <x v="7"/>
    <x v="5"/>
    <x v="2"/>
    <x v="2"/>
    <n v="75000"/>
    <n v="3"/>
    <x v="1"/>
    <x v="1"/>
    <n v="225000"/>
  </r>
  <r>
    <s v="ORD0479"/>
    <x v="81"/>
    <x v="5"/>
    <x v="0"/>
    <x v="3"/>
    <x v="3"/>
    <n v="375000"/>
    <n v="2"/>
    <x v="1"/>
    <x v="1"/>
    <n v="750000"/>
  </r>
  <r>
    <s v="ORD0480"/>
    <x v="64"/>
    <x v="2"/>
    <x v="1"/>
    <x v="0"/>
    <x v="4"/>
    <n v="240000"/>
    <n v="1"/>
    <x v="1"/>
    <x v="0"/>
    <n v="240000"/>
  </r>
  <r>
    <s v="ORD0481"/>
    <x v="129"/>
    <x v="3"/>
    <x v="2"/>
    <x v="1"/>
    <x v="4"/>
    <n v="300000"/>
    <n v="2"/>
    <x v="1"/>
    <x v="0"/>
    <n v="600000"/>
  </r>
  <r>
    <s v="ORD0482"/>
    <x v="168"/>
    <x v="7"/>
    <x v="5"/>
    <x v="0"/>
    <x v="2"/>
    <n v="75000"/>
    <n v="1"/>
    <x v="1"/>
    <x v="1"/>
    <n v="75000"/>
  </r>
  <r>
    <s v="ORD0483"/>
    <x v="100"/>
    <x v="2"/>
    <x v="1"/>
    <x v="1"/>
    <x v="5"/>
    <n v="240000"/>
    <n v="1"/>
    <x v="0"/>
    <x v="0"/>
    <n v="240000"/>
  </r>
  <r>
    <s v="ORD0484"/>
    <x v="41"/>
    <x v="1"/>
    <x v="1"/>
    <x v="0"/>
    <x v="1"/>
    <n v="225000"/>
    <n v="3"/>
    <x v="0"/>
    <x v="0"/>
    <n v="675000"/>
  </r>
  <r>
    <s v="ORD0485"/>
    <x v="139"/>
    <x v="6"/>
    <x v="4"/>
    <x v="0"/>
    <x v="2"/>
    <n v="250000"/>
    <n v="1"/>
    <x v="0"/>
    <x v="0"/>
    <n v="250000"/>
  </r>
  <r>
    <s v="ORD0486"/>
    <x v="64"/>
    <x v="3"/>
    <x v="2"/>
    <x v="3"/>
    <x v="3"/>
    <n v="300000"/>
    <n v="3"/>
    <x v="0"/>
    <x v="0"/>
    <n v="900000"/>
  </r>
  <r>
    <s v="ORD0487"/>
    <x v="145"/>
    <x v="1"/>
    <x v="1"/>
    <x v="0"/>
    <x v="5"/>
    <n v="225000"/>
    <n v="2"/>
    <x v="0"/>
    <x v="1"/>
    <n v="450000"/>
  </r>
  <r>
    <s v="ORD0488"/>
    <x v="23"/>
    <x v="3"/>
    <x v="2"/>
    <x v="0"/>
    <x v="2"/>
    <n v="300000"/>
    <n v="2"/>
    <x v="0"/>
    <x v="0"/>
    <n v="600000"/>
  </r>
  <r>
    <s v="ORD0489"/>
    <x v="60"/>
    <x v="2"/>
    <x v="1"/>
    <x v="2"/>
    <x v="4"/>
    <n v="240000"/>
    <n v="2"/>
    <x v="1"/>
    <x v="1"/>
    <n v="480000"/>
  </r>
  <r>
    <s v="ORD0490"/>
    <x v="100"/>
    <x v="0"/>
    <x v="0"/>
    <x v="1"/>
    <x v="2"/>
    <n v="350000"/>
    <n v="3"/>
    <x v="0"/>
    <x v="0"/>
    <n v="1050000"/>
  </r>
  <r>
    <s v="ORD0491"/>
    <x v="159"/>
    <x v="2"/>
    <x v="1"/>
    <x v="1"/>
    <x v="0"/>
    <n v="240000"/>
    <n v="3"/>
    <x v="1"/>
    <x v="0"/>
    <n v="720000"/>
  </r>
  <r>
    <s v="ORD0492"/>
    <x v="111"/>
    <x v="5"/>
    <x v="0"/>
    <x v="3"/>
    <x v="0"/>
    <n v="375000"/>
    <n v="1"/>
    <x v="1"/>
    <x v="1"/>
    <n v="375000"/>
  </r>
  <r>
    <s v="ORD0493"/>
    <x v="23"/>
    <x v="6"/>
    <x v="4"/>
    <x v="1"/>
    <x v="0"/>
    <n v="250000"/>
    <n v="3"/>
    <x v="1"/>
    <x v="1"/>
    <n v="750000"/>
  </r>
  <r>
    <s v="ORD0494"/>
    <x v="50"/>
    <x v="5"/>
    <x v="0"/>
    <x v="0"/>
    <x v="2"/>
    <n v="375000"/>
    <n v="2"/>
    <x v="1"/>
    <x v="0"/>
    <n v="750000"/>
  </r>
  <r>
    <s v="ORD0495"/>
    <x v="41"/>
    <x v="7"/>
    <x v="5"/>
    <x v="0"/>
    <x v="0"/>
    <n v="75000"/>
    <n v="3"/>
    <x v="0"/>
    <x v="0"/>
    <n v="225000"/>
  </r>
  <r>
    <s v="ORD0496"/>
    <x v="42"/>
    <x v="5"/>
    <x v="0"/>
    <x v="0"/>
    <x v="1"/>
    <n v="375000"/>
    <n v="1"/>
    <x v="0"/>
    <x v="1"/>
    <n v="375000"/>
  </r>
  <r>
    <s v="ORD0497"/>
    <x v="142"/>
    <x v="4"/>
    <x v="3"/>
    <x v="2"/>
    <x v="5"/>
    <n v="275000"/>
    <n v="1"/>
    <x v="0"/>
    <x v="1"/>
    <n v="275000"/>
  </r>
  <r>
    <s v="ORD0498"/>
    <x v="37"/>
    <x v="2"/>
    <x v="1"/>
    <x v="1"/>
    <x v="2"/>
    <n v="240000"/>
    <n v="2"/>
    <x v="0"/>
    <x v="1"/>
    <n v="480000"/>
  </r>
  <r>
    <s v="ORD0499"/>
    <x v="169"/>
    <x v="4"/>
    <x v="3"/>
    <x v="0"/>
    <x v="4"/>
    <n v="275000"/>
    <n v="1"/>
    <x v="0"/>
    <x v="0"/>
    <n v="275000"/>
  </r>
  <r>
    <s v="ORD0500"/>
    <x v="82"/>
    <x v="1"/>
    <x v="1"/>
    <x v="0"/>
    <x v="5"/>
    <n v="225000"/>
    <n v="2"/>
    <x v="1"/>
    <x v="0"/>
    <n v="450000"/>
  </r>
  <r>
    <s v="ORD0501"/>
    <x v="73"/>
    <x v="2"/>
    <x v="1"/>
    <x v="2"/>
    <x v="2"/>
    <n v="240000"/>
    <n v="2"/>
    <x v="0"/>
    <x v="0"/>
    <n v="480000"/>
  </r>
  <r>
    <s v="ORD0502"/>
    <x v="24"/>
    <x v="5"/>
    <x v="0"/>
    <x v="3"/>
    <x v="5"/>
    <n v="375000"/>
    <n v="1"/>
    <x v="1"/>
    <x v="1"/>
    <n v="375000"/>
  </r>
  <r>
    <s v="ORD0503"/>
    <x v="113"/>
    <x v="3"/>
    <x v="2"/>
    <x v="3"/>
    <x v="2"/>
    <n v="300000"/>
    <n v="2"/>
    <x v="1"/>
    <x v="1"/>
    <n v="600000"/>
  </r>
  <r>
    <s v="ORD0504"/>
    <x v="100"/>
    <x v="0"/>
    <x v="0"/>
    <x v="3"/>
    <x v="3"/>
    <n v="350000"/>
    <n v="2"/>
    <x v="1"/>
    <x v="1"/>
    <n v="700000"/>
  </r>
  <r>
    <s v="ORD0505"/>
    <x v="111"/>
    <x v="3"/>
    <x v="2"/>
    <x v="1"/>
    <x v="2"/>
    <n v="300000"/>
    <n v="1"/>
    <x v="0"/>
    <x v="0"/>
    <n v="300000"/>
  </r>
  <r>
    <s v="ORD0506"/>
    <x v="20"/>
    <x v="3"/>
    <x v="2"/>
    <x v="2"/>
    <x v="2"/>
    <n v="300000"/>
    <n v="3"/>
    <x v="1"/>
    <x v="0"/>
    <n v="900000"/>
  </r>
  <r>
    <s v="ORD0507"/>
    <x v="153"/>
    <x v="6"/>
    <x v="4"/>
    <x v="0"/>
    <x v="0"/>
    <n v="250000"/>
    <n v="2"/>
    <x v="0"/>
    <x v="1"/>
    <n v="500000"/>
  </r>
  <r>
    <s v="ORD0508"/>
    <x v="27"/>
    <x v="2"/>
    <x v="1"/>
    <x v="3"/>
    <x v="5"/>
    <n v="240000"/>
    <n v="2"/>
    <x v="1"/>
    <x v="1"/>
    <n v="480000"/>
  </r>
  <r>
    <s v="ORD0509"/>
    <x v="93"/>
    <x v="4"/>
    <x v="3"/>
    <x v="1"/>
    <x v="4"/>
    <n v="275000"/>
    <n v="2"/>
    <x v="1"/>
    <x v="0"/>
    <n v="550000"/>
  </r>
  <r>
    <s v="ORD0510"/>
    <x v="53"/>
    <x v="7"/>
    <x v="5"/>
    <x v="3"/>
    <x v="1"/>
    <n v="75000"/>
    <n v="3"/>
    <x v="1"/>
    <x v="1"/>
    <n v="225000"/>
  </r>
  <r>
    <s v="ORD0511"/>
    <x v="58"/>
    <x v="7"/>
    <x v="5"/>
    <x v="0"/>
    <x v="4"/>
    <n v="75000"/>
    <n v="1"/>
    <x v="1"/>
    <x v="0"/>
    <n v="75000"/>
  </r>
  <r>
    <s v="ORD0512"/>
    <x v="30"/>
    <x v="4"/>
    <x v="3"/>
    <x v="3"/>
    <x v="5"/>
    <n v="275000"/>
    <n v="2"/>
    <x v="0"/>
    <x v="1"/>
    <n v="550000"/>
  </r>
  <r>
    <s v="ORD0513"/>
    <x v="165"/>
    <x v="0"/>
    <x v="0"/>
    <x v="3"/>
    <x v="2"/>
    <n v="350000"/>
    <n v="1"/>
    <x v="0"/>
    <x v="0"/>
    <n v="350000"/>
  </r>
  <r>
    <s v="ORD0514"/>
    <x v="88"/>
    <x v="0"/>
    <x v="0"/>
    <x v="1"/>
    <x v="1"/>
    <n v="350000"/>
    <n v="3"/>
    <x v="1"/>
    <x v="0"/>
    <n v="1050000"/>
  </r>
  <r>
    <s v="ORD0515"/>
    <x v="90"/>
    <x v="4"/>
    <x v="3"/>
    <x v="0"/>
    <x v="2"/>
    <n v="275000"/>
    <n v="3"/>
    <x v="0"/>
    <x v="0"/>
    <n v="825000"/>
  </r>
  <r>
    <s v="ORD0516"/>
    <x v="95"/>
    <x v="3"/>
    <x v="2"/>
    <x v="1"/>
    <x v="1"/>
    <n v="300000"/>
    <n v="2"/>
    <x v="1"/>
    <x v="1"/>
    <n v="600000"/>
  </r>
  <r>
    <s v="ORD0517"/>
    <x v="45"/>
    <x v="4"/>
    <x v="3"/>
    <x v="2"/>
    <x v="1"/>
    <n v="275000"/>
    <n v="3"/>
    <x v="1"/>
    <x v="0"/>
    <n v="825000"/>
  </r>
  <r>
    <s v="ORD0518"/>
    <x v="36"/>
    <x v="0"/>
    <x v="0"/>
    <x v="0"/>
    <x v="1"/>
    <n v="350000"/>
    <n v="2"/>
    <x v="1"/>
    <x v="1"/>
    <n v="700000"/>
  </r>
  <r>
    <s v="ORD0519"/>
    <x v="170"/>
    <x v="7"/>
    <x v="5"/>
    <x v="1"/>
    <x v="4"/>
    <n v="75000"/>
    <n v="3"/>
    <x v="1"/>
    <x v="1"/>
    <n v="225000"/>
  </r>
  <r>
    <s v="ORD0520"/>
    <x v="158"/>
    <x v="4"/>
    <x v="3"/>
    <x v="3"/>
    <x v="3"/>
    <n v="275000"/>
    <n v="2"/>
    <x v="1"/>
    <x v="1"/>
    <n v="550000"/>
  </r>
  <r>
    <s v="ORD0521"/>
    <x v="78"/>
    <x v="5"/>
    <x v="0"/>
    <x v="2"/>
    <x v="2"/>
    <n v="375000"/>
    <n v="3"/>
    <x v="1"/>
    <x v="1"/>
    <n v="1125000"/>
  </r>
  <r>
    <s v="ORD0522"/>
    <x v="83"/>
    <x v="2"/>
    <x v="1"/>
    <x v="0"/>
    <x v="1"/>
    <n v="240000"/>
    <n v="3"/>
    <x v="1"/>
    <x v="1"/>
    <n v="720000"/>
  </r>
  <r>
    <s v="ORD0523"/>
    <x v="69"/>
    <x v="3"/>
    <x v="2"/>
    <x v="0"/>
    <x v="3"/>
    <n v="300000"/>
    <n v="3"/>
    <x v="0"/>
    <x v="1"/>
    <n v="900000"/>
  </r>
  <r>
    <s v="ORD0524"/>
    <x v="103"/>
    <x v="2"/>
    <x v="1"/>
    <x v="2"/>
    <x v="4"/>
    <n v="240000"/>
    <n v="1"/>
    <x v="0"/>
    <x v="0"/>
    <n v="240000"/>
  </r>
  <r>
    <s v="ORD0525"/>
    <x v="86"/>
    <x v="2"/>
    <x v="1"/>
    <x v="3"/>
    <x v="4"/>
    <n v="240000"/>
    <n v="3"/>
    <x v="1"/>
    <x v="1"/>
    <n v="720000"/>
  </r>
  <r>
    <s v="ORD0526"/>
    <x v="140"/>
    <x v="1"/>
    <x v="1"/>
    <x v="1"/>
    <x v="0"/>
    <n v="225000"/>
    <n v="2"/>
    <x v="1"/>
    <x v="0"/>
    <n v="450000"/>
  </r>
  <r>
    <s v="ORD0527"/>
    <x v="119"/>
    <x v="5"/>
    <x v="0"/>
    <x v="2"/>
    <x v="3"/>
    <n v="375000"/>
    <n v="3"/>
    <x v="0"/>
    <x v="1"/>
    <n v="1125000"/>
  </r>
  <r>
    <s v="ORD0528"/>
    <x v="95"/>
    <x v="4"/>
    <x v="3"/>
    <x v="0"/>
    <x v="0"/>
    <n v="275000"/>
    <n v="3"/>
    <x v="1"/>
    <x v="0"/>
    <n v="825000"/>
  </r>
  <r>
    <s v="ORD0529"/>
    <x v="76"/>
    <x v="6"/>
    <x v="4"/>
    <x v="2"/>
    <x v="0"/>
    <n v="250000"/>
    <n v="3"/>
    <x v="1"/>
    <x v="1"/>
    <n v="750000"/>
  </r>
  <r>
    <s v="ORD0530"/>
    <x v="147"/>
    <x v="2"/>
    <x v="1"/>
    <x v="3"/>
    <x v="3"/>
    <n v="240000"/>
    <n v="1"/>
    <x v="1"/>
    <x v="0"/>
    <n v="240000"/>
  </r>
  <r>
    <s v="ORD0531"/>
    <x v="1"/>
    <x v="1"/>
    <x v="1"/>
    <x v="2"/>
    <x v="1"/>
    <n v="225000"/>
    <n v="2"/>
    <x v="1"/>
    <x v="1"/>
    <n v="450000"/>
  </r>
  <r>
    <s v="ORD0532"/>
    <x v="152"/>
    <x v="5"/>
    <x v="0"/>
    <x v="1"/>
    <x v="3"/>
    <n v="375000"/>
    <n v="1"/>
    <x v="1"/>
    <x v="0"/>
    <n v="375000"/>
  </r>
  <r>
    <s v="ORD0533"/>
    <x v="103"/>
    <x v="4"/>
    <x v="3"/>
    <x v="2"/>
    <x v="0"/>
    <n v="275000"/>
    <n v="2"/>
    <x v="0"/>
    <x v="0"/>
    <n v="550000"/>
  </r>
  <r>
    <s v="ORD0534"/>
    <x v="136"/>
    <x v="3"/>
    <x v="2"/>
    <x v="2"/>
    <x v="2"/>
    <n v="300000"/>
    <n v="1"/>
    <x v="0"/>
    <x v="1"/>
    <n v="300000"/>
  </r>
  <r>
    <s v="ORD0535"/>
    <x v="40"/>
    <x v="3"/>
    <x v="2"/>
    <x v="1"/>
    <x v="4"/>
    <n v="300000"/>
    <n v="2"/>
    <x v="0"/>
    <x v="1"/>
    <n v="600000"/>
  </r>
  <r>
    <s v="ORD0536"/>
    <x v="98"/>
    <x v="0"/>
    <x v="0"/>
    <x v="2"/>
    <x v="3"/>
    <n v="350000"/>
    <n v="3"/>
    <x v="1"/>
    <x v="0"/>
    <n v="1050000"/>
  </r>
  <r>
    <s v="ORD0537"/>
    <x v="42"/>
    <x v="4"/>
    <x v="3"/>
    <x v="1"/>
    <x v="3"/>
    <n v="275000"/>
    <n v="3"/>
    <x v="0"/>
    <x v="0"/>
    <n v="825000"/>
  </r>
  <r>
    <s v="ORD0538"/>
    <x v="124"/>
    <x v="7"/>
    <x v="5"/>
    <x v="1"/>
    <x v="3"/>
    <n v="75000"/>
    <n v="1"/>
    <x v="1"/>
    <x v="0"/>
    <n v="75000"/>
  </r>
  <r>
    <s v="ORD0539"/>
    <x v="124"/>
    <x v="3"/>
    <x v="2"/>
    <x v="3"/>
    <x v="4"/>
    <n v="300000"/>
    <n v="3"/>
    <x v="0"/>
    <x v="1"/>
    <n v="900000"/>
  </r>
  <r>
    <s v="ORD0540"/>
    <x v="48"/>
    <x v="1"/>
    <x v="1"/>
    <x v="2"/>
    <x v="0"/>
    <n v="225000"/>
    <n v="3"/>
    <x v="0"/>
    <x v="0"/>
    <n v="675000"/>
  </r>
  <r>
    <s v="ORD0541"/>
    <x v="86"/>
    <x v="2"/>
    <x v="1"/>
    <x v="2"/>
    <x v="5"/>
    <n v="240000"/>
    <n v="1"/>
    <x v="0"/>
    <x v="1"/>
    <n v="240000"/>
  </r>
  <r>
    <s v="ORD0542"/>
    <x v="0"/>
    <x v="5"/>
    <x v="0"/>
    <x v="1"/>
    <x v="4"/>
    <n v="375000"/>
    <n v="2"/>
    <x v="0"/>
    <x v="1"/>
    <n v="750000"/>
  </r>
  <r>
    <s v="ORD0543"/>
    <x v="3"/>
    <x v="5"/>
    <x v="0"/>
    <x v="2"/>
    <x v="3"/>
    <n v="375000"/>
    <n v="2"/>
    <x v="0"/>
    <x v="1"/>
    <n v="750000"/>
  </r>
  <r>
    <s v="ORD0544"/>
    <x v="39"/>
    <x v="6"/>
    <x v="4"/>
    <x v="0"/>
    <x v="5"/>
    <n v="250000"/>
    <n v="1"/>
    <x v="0"/>
    <x v="0"/>
    <n v="250000"/>
  </r>
  <r>
    <s v="ORD0545"/>
    <x v="76"/>
    <x v="4"/>
    <x v="3"/>
    <x v="2"/>
    <x v="0"/>
    <n v="275000"/>
    <n v="1"/>
    <x v="1"/>
    <x v="0"/>
    <n v="275000"/>
  </r>
  <r>
    <s v="ORD0546"/>
    <x v="119"/>
    <x v="7"/>
    <x v="5"/>
    <x v="0"/>
    <x v="2"/>
    <n v="75000"/>
    <n v="3"/>
    <x v="1"/>
    <x v="1"/>
    <n v="225000"/>
  </r>
  <r>
    <s v="ORD0547"/>
    <x v="77"/>
    <x v="6"/>
    <x v="4"/>
    <x v="2"/>
    <x v="1"/>
    <n v="250000"/>
    <n v="3"/>
    <x v="1"/>
    <x v="1"/>
    <n v="750000"/>
  </r>
  <r>
    <s v="ORD0548"/>
    <x v="125"/>
    <x v="0"/>
    <x v="0"/>
    <x v="1"/>
    <x v="5"/>
    <n v="350000"/>
    <n v="3"/>
    <x v="0"/>
    <x v="1"/>
    <n v="1050000"/>
  </r>
  <r>
    <s v="ORD0549"/>
    <x v="127"/>
    <x v="4"/>
    <x v="3"/>
    <x v="1"/>
    <x v="2"/>
    <n v="275000"/>
    <n v="2"/>
    <x v="0"/>
    <x v="0"/>
    <n v="550000"/>
  </r>
  <r>
    <s v="ORD0550"/>
    <x v="46"/>
    <x v="4"/>
    <x v="3"/>
    <x v="3"/>
    <x v="3"/>
    <n v="275000"/>
    <n v="2"/>
    <x v="0"/>
    <x v="1"/>
    <n v="550000"/>
  </r>
  <r>
    <s v="ORD0551"/>
    <x v="89"/>
    <x v="7"/>
    <x v="5"/>
    <x v="2"/>
    <x v="1"/>
    <n v="75000"/>
    <n v="3"/>
    <x v="1"/>
    <x v="0"/>
    <n v="225000"/>
  </r>
  <r>
    <s v="ORD0552"/>
    <x v="37"/>
    <x v="0"/>
    <x v="0"/>
    <x v="0"/>
    <x v="3"/>
    <n v="350000"/>
    <n v="3"/>
    <x v="0"/>
    <x v="1"/>
    <n v="1050000"/>
  </r>
  <r>
    <s v="ORD0553"/>
    <x v="65"/>
    <x v="6"/>
    <x v="4"/>
    <x v="1"/>
    <x v="1"/>
    <n v="250000"/>
    <n v="1"/>
    <x v="0"/>
    <x v="0"/>
    <n v="250000"/>
  </r>
  <r>
    <s v="ORD0554"/>
    <x v="8"/>
    <x v="3"/>
    <x v="2"/>
    <x v="0"/>
    <x v="0"/>
    <n v="300000"/>
    <n v="1"/>
    <x v="1"/>
    <x v="0"/>
    <n v="300000"/>
  </r>
  <r>
    <s v="ORD0555"/>
    <x v="99"/>
    <x v="5"/>
    <x v="0"/>
    <x v="2"/>
    <x v="1"/>
    <n v="375000"/>
    <n v="2"/>
    <x v="1"/>
    <x v="1"/>
    <n v="750000"/>
  </r>
  <r>
    <s v="ORD0556"/>
    <x v="33"/>
    <x v="0"/>
    <x v="0"/>
    <x v="0"/>
    <x v="5"/>
    <n v="350000"/>
    <n v="2"/>
    <x v="0"/>
    <x v="0"/>
    <n v="700000"/>
  </r>
  <r>
    <s v="ORD0557"/>
    <x v="138"/>
    <x v="7"/>
    <x v="5"/>
    <x v="1"/>
    <x v="3"/>
    <n v="75000"/>
    <n v="3"/>
    <x v="1"/>
    <x v="1"/>
    <n v="225000"/>
  </r>
  <r>
    <s v="ORD0558"/>
    <x v="155"/>
    <x v="3"/>
    <x v="2"/>
    <x v="0"/>
    <x v="1"/>
    <n v="300000"/>
    <n v="3"/>
    <x v="1"/>
    <x v="0"/>
    <n v="900000"/>
  </r>
  <r>
    <s v="ORD0559"/>
    <x v="8"/>
    <x v="5"/>
    <x v="0"/>
    <x v="2"/>
    <x v="3"/>
    <n v="375000"/>
    <n v="2"/>
    <x v="0"/>
    <x v="0"/>
    <n v="750000"/>
  </r>
  <r>
    <s v="ORD0560"/>
    <x v="113"/>
    <x v="6"/>
    <x v="4"/>
    <x v="3"/>
    <x v="3"/>
    <n v="250000"/>
    <n v="2"/>
    <x v="0"/>
    <x v="0"/>
    <n v="500000"/>
  </r>
  <r>
    <s v="ORD0561"/>
    <x v="67"/>
    <x v="5"/>
    <x v="0"/>
    <x v="1"/>
    <x v="3"/>
    <n v="375000"/>
    <n v="1"/>
    <x v="1"/>
    <x v="0"/>
    <n v="375000"/>
  </r>
  <r>
    <s v="ORD0562"/>
    <x v="72"/>
    <x v="7"/>
    <x v="5"/>
    <x v="3"/>
    <x v="4"/>
    <n v="75000"/>
    <n v="1"/>
    <x v="0"/>
    <x v="0"/>
    <n v="75000"/>
  </r>
  <r>
    <s v="ORD0563"/>
    <x v="72"/>
    <x v="2"/>
    <x v="1"/>
    <x v="3"/>
    <x v="4"/>
    <n v="240000"/>
    <n v="1"/>
    <x v="1"/>
    <x v="1"/>
    <n v="240000"/>
  </r>
  <r>
    <s v="ORD0564"/>
    <x v="69"/>
    <x v="5"/>
    <x v="0"/>
    <x v="3"/>
    <x v="1"/>
    <n v="375000"/>
    <n v="1"/>
    <x v="1"/>
    <x v="0"/>
    <n v="375000"/>
  </r>
  <r>
    <s v="ORD0565"/>
    <x v="80"/>
    <x v="7"/>
    <x v="5"/>
    <x v="3"/>
    <x v="5"/>
    <n v="75000"/>
    <n v="2"/>
    <x v="1"/>
    <x v="1"/>
    <n v="150000"/>
  </r>
  <r>
    <s v="ORD0566"/>
    <x v="171"/>
    <x v="4"/>
    <x v="3"/>
    <x v="3"/>
    <x v="4"/>
    <n v="275000"/>
    <n v="2"/>
    <x v="0"/>
    <x v="1"/>
    <n v="550000"/>
  </r>
  <r>
    <s v="ORD0567"/>
    <x v="95"/>
    <x v="1"/>
    <x v="1"/>
    <x v="0"/>
    <x v="5"/>
    <n v="225000"/>
    <n v="3"/>
    <x v="1"/>
    <x v="1"/>
    <n v="675000"/>
  </r>
  <r>
    <s v="ORD0568"/>
    <x v="21"/>
    <x v="4"/>
    <x v="3"/>
    <x v="3"/>
    <x v="1"/>
    <n v="275000"/>
    <n v="1"/>
    <x v="1"/>
    <x v="0"/>
    <n v="275000"/>
  </r>
  <r>
    <s v="ORD0569"/>
    <x v="167"/>
    <x v="7"/>
    <x v="5"/>
    <x v="2"/>
    <x v="5"/>
    <n v="75000"/>
    <n v="1"/>
    <x v="1"/>
    <x v="0"/>
    <n v="75000"/>
  </r>
  <r>
    <s v="ORD0570"/>
    <x v="172"/>
    <x v="6"/>
    <x v="4"/>
    <x v="0"/>
    <x v="5"/>
    <n v="250000"/>
    <n v="3"/>
    <x v="0"/>
    <x v="0"/>
    <n v="750000"/>
  </r>
  <r>
    <s v="ORD0571"/>
    <x v="23"/>
    <x v="3"/>
    <x v="2"/>
    <x v="1"/>
    <x v="1"/>
    <n v="300000"/>
    <n v="3"/>
    <x v="0"/>
    <x v="0"/>
    <n v="900000"/>
  </r>
  <r>
    <s v="ORD0572"/>
    <x v="32"/>
    <x v="0"/>
    <x v="0"/>
    <x v="1"/>
    <x v="0"/>
    <n v="350000"/>
    <n v="2"/>
    <x v="1"/>
    <x v="0"/>
    <n v="700000"/>
  </r>
  <r>
    <s v="ORD0573"/>
    <x v="16"/>
    <x v="5"/>
    <x v="0"/>
    <x v="0"/>
    <x v="5"/>
    <n v="375000"/>
    <n v="2"/>
    <x v="0"/>
    <x v="0"/>
    <n v="750000"/>
  </r>
  <r>
    <s v="ORD0574"/>
    <x v="33"/>
    <x v="5"/>
    <x v="0"/>
    <x v="3"/>
    <x v="3"/>
    <n v="375000"/>
    <n v="2"/>
    <x v="0"/>
    <x v="1"/>
    <n v="750000"/>
  </r>
  <r>
    <s v="ORD0575"/>
    <x v="166"/>
    <x v="5"/>
    <x v="0"/>
    <x v="0"/>
    <x v="2"/>
    <n v="375000"/>
    <n v="3"/>
    <x v="0"/>
    <x v="0"/>
    <n v="1125000"/>
  </r>
  <r>
    <s v="ORD0576"/>
    <x v="58"/>
    <x v="6"/>
    <x v="4"/>
    <x v="1"/>
    <x v="1"/>
    <n v="250000"/>
    <n v="1"/>
    <x v="0"/>
    <x v="1"/>
    <n v="250000"/>
  </r>
  <r>
    <s v="ORD0577"/>
    <x v="44"/>
    <x v="2"/>
    <x v="1"/>
    <x v="1"/>
    <x v="0"/>
    <n v="240000"/>
    <n v="1"/>
    <x v="1"/>
    <x v="0"/>
    <n v="240000"/>
  </r>
  <r>
    <s v="ORD0578"/>
    <x v="154"/>
    <x v="3"/>
    <x v="2"/>
    <x v="1"/>
    <x v="1"/>
    <n v="300000"/>
    <n v="3"/>
    <x v="1"/>
    <x v="1"/>
    <n v="900000"/>
  </r>
  <r>
    <s v="ORD0579"/>
    <x v="43"/>
    <x v="1"/>
    <x v="1"/>
    <x v="2"/>
    <x v="1"/>
    <n v="225000"/>
    <n v="2"/>
    <x v="1"/>
    <x v="0"/>
    <n v="450000"/>
  </r>
  <r>
    <s v="ORD0580"/>
    <x v="114"/>
    <x v="3"/>
    <x v="2"/>
    <x v="1"/>
    <x v="5"/>
    <n v="300000"/>
    <n v="3"/>
    <x v="1"/>
    <x v="1"/>
    <n v="900000"/>
  </r>
  <r>
    <s v="ORD0581"/>
    <x v="158"/>
    <x v="6"/>
    <x v="4"/>
    <x v="0"/>
    <x v="4"/>
    <n v="250000"/>
    <n v="2"/>
    <x v="1"/>
    <x v="0"/>
    <n v="500000"/>
  </r>
  <r>
    <s v="ORD0582"/>
    <x v="154"/>
    <x v="3"/>
    <x v="2"/>
    <x v="0"/>
    <x v="4"/>
    <n v="300000"/>
    <n v="2"/>
    <x v="1"/>
    <x v="0"/>
    <n v="600000"/>
  </r>
  <r>
    <s v="ORD0583"/>
    <x v="173"/>
    <x v="0"/>
    <x v="0"/>
    <x v="1"/>
    <x v="0"/>
    <n v="350000"/>
    <n v="1"/>
    <x v="1"/>
    <x v="0"/>
    <n v="350000"/>
  </r>
  <r>
    <s v="ORD0584"/>
    <x v="73"/>
    <x v="4"/>
    <x v="3"/>
    <x v="0"/>
    <x v="4"/>
    <n v="275000"/>
    <n v="3"/>
    <x v="1"/>
    <x v="1"/>
    <n v="825000"/>
  </r>
  <r>
    <s v="ORD0585"/>
    <x v="77"/>
    <x v="0"/>
    <x v="0"/>
    <x v="0"/>
    <x v="5"/>
    <n v="350000"/>
    <n v="2"/>
    <x v="0"/>
    <x v="1"/>
    <n v="700000"/>
  </r>
  <r>
    <s v="ORD0586"/>
    <x v="38"/>
    <x v="5"/>
    <x v="0"/>
    <x v="2"/>
    <x v="4"/>
    <n v="375000"/>
    <n v="3"/>
    <x v="0"/>
    <x v="1"/>
    <n v="1125000"/>
  </r>
  <r>
    <s v="ORD0587"/>
    <x v="77"/>
    <x v="4"/>
    <x v="3"/>
    <x v="3"/>
    <x v="5"/>
    <n v="275000"/>
    <n v="1"/>
    <x v="0"/>
    <x v="0"/>
    <n v="275000"/>
  </r>
  <r>
    <s v="ORD0588"/>
    <x v="170"/>
    <x v="4"/>
    <x v="3"/>
    <x v="3"/>
    <x v="1"/>
    <n v="275000"/>
    <n v="3"/>
    <x v="0"/>
    <x v="0"/>
    <n v="825000"/>
  </r>
  <r>
    <s v="ORD0589"/>
    <x v="58"/>
    <x v="5"/>
    <x v="0"/>
    <x v="3"/>
    <x v="1"/>
    <n v="375000"/>
    <n v="3"/>
    <x v="1"/>
    <x v="0"/>
    <n v="1125000"/>
  </r>
  <r>
    <s v="ORD0590"/>
    <x v="22"/>
    <x v="4"/>
    <x v="3"/>
    <x v="3"/>
    <x v="2"/>
    <n v="275000"/>
    <n v="2"/>
    <x v="0"/>
    <x v="0"/>
    <n v="550000"/>
  </r>
  <r>
    <s v="ORD0591"/>
    <x v="52"/>
    <x v="7"/>
    <x v="5"/>
    <x v="1"/>
    <x v="2"/>
    <n v="75000"/>
    <n v="3"/>
    <x v="1"/>
    <x v="1"/>
    <n v="225000"/>
  </r>
  <r>
    <s v="ORD0592"/>
    <x v="52"/>
    <x v="7"/>
    <x v="5"/>
    <x v="3"/>
    <x v="4"/>
    <n v="75000"/>
    <n v="1"/>
    <x v="1"/>
    <x v="1"/>
    <n v="75000"/>
  </r>
  <r>
    <s v="ORD0593"/>
    <x v="161"/>
    <x v="5"/>
    <x v="0"/>
    <x v="3"/>
    <x v="0"/>
    <n v="375000"/>
    <n v="2"/>
    <x v="0"/>
    <x v="0"/>
    <n v="750000"/>
  </r>
  <r>
    <s v="ORD0594"/>
    <x v="51"/>
    <x v="7"/>
    <x v="5"/>
    <x v="2"/>
    <x v="3"/>
    <n v="75000"/>
    <n v="1"/>
    <x v="0"/>
    <x v="0"/>
    <n v="75000"/>
  </r>
  <r>
    <s v="ORD0595"/>
    <x v="78"/>
    <x v="6"/>
    <x v="4"/>
    <x v="1"/>
    <x v="0"/>
    <n v="250000"/>
    <n v="3"/>
    <x v="1"/>
    <x v="1"/>
    <n v="750000"/>
  </r>
  <r>
    <s v="ORD0596"/>
    <x v="147"/>
    <x v="5"/>
    <x v="0"/>
    <x v="3"/>
    <x v="2"/>
    <n v="375000"/>
    <n v="3"/>
    <x v="0"/>
    <x v="0"/>
    <n v="1125000"/>
  </r>
  <r>
    <s v="ORD0597"/>
    <x v="163"/>
    <x v="5"/>
    <x v="0"/>
    <x v="2"/>
    <x v="2"/>
    <n v="375000"/>
    <n v="3"/>
    <x v="1"/>
    <x v="0"/>
    <n v="1125000"/>
  </r>
  <r>
    <s v="ORD0598"/>
    <x v="132"/>
    <x v="5"/>
    <x v="0"/>
    <x v="3"/>
    <x v="4"/>
    <n v="375000"/>
    <n v="1"/>
    <x v="0"/>
    <x v="1"/>
    <n v="375000"/>
  </r>
  <r>
    <s v="ORD0599"/>
    <x v="55"/>
    <x v="3"/>
    <x v="2"/>
    <x v="3"/>
    <x v="5"/>
    <n v="300000"/>
    <n v="3"/>
    <x v="1"/>
    <x v="0"/>
    <n v="900000"/>
  </r>
  <r>
    <s v="ORD0600"/>
    <x v="45"/>
    <x v="7"/>
    <x v="5"/>
    <x v="2"/>
    <x v="5"/>
    <n v="75000"/>
    <n v="1"/>
    <x v="1"/>
    <x v="0"/>
    <n v="75000"/>
  </r>
  <r>
    <s v="ORD0601"/>
    <x v="59"/>
    <x v="2"/>
    <x v="1"/>
    <x v="2"/>
    <x v="3"/>
    <n v="240000"/>
    <n v="2"/>
    <x v="1"/>
    <x v="0"/>
    <n v="480000"/>
  </r>
  <r>
    <s v="ORD0602"/>
    <x v="139"/>
    <x v="4"/>
    <x v="3"/>
    <x v="3"/>
    <x v="2"/>
    <n v="275000"/>
    <n v="1"/>
    <x v="0"/>
    <x v="1"/>
    <n v="275000"/>
  </r>
  <r>
    <s v="ORD0603"/>
    <x v="12"/>
    <x v="4"/>
    <x v="3"/>
    <x v="0"/>
    <x v="4"/>
    <n v="275000"/>
    <n v="1"/>
    <x v="1"/>
    <x v="1"/>
    <n v="275000"/>
  </r>
  <r>
    <s v="ORD0604"/>
    <x v="70"/>
    <x v="5"/>
    <x v="0"/>
    <x v="3"/>
    <x v="1"/>
    <n v="375000"/>
    <n v="1"/>
    <x v="0"/>
    <x v="1"/>
    <n v="375000"/>
  </r>
  <r>
    <s v="ORD0605"/>
    <x v="134"/>
    <x v="4"/>
    <x v="3"/>
    <x v="2"/>
    <x v="4"/>
    <n v="275000"/>
    <n v="3"/>
    <x v="1"/>
    <x v="1"/>
    <n v="825000"/>
  </r>
  <r>
    <s v="ORD0606"/>
    <x v="54"/>
    <x v="6"/>
    <x v="4"/>
    <x v="2"/>
    <x v="4"/>
    <n v="250000"/>
    <n v="2"/>
    <x v="0"/>
    <x v="0"/>
    <n v="500000"/>
  </r>
  <r>
    <s v="ORD0607"/>
    <x v="25"/>
    <x v="0"/>
    <x v="0"/>
    <x v="0"/>
    <x v="4"/>
    <n v="350000"/>
    <n v="2"/>
    <x v="0"/>
    <x v="1"/>
    <n v="700000"/>
  </r>
  <r>
    <s v="ORD0608"/>
    <x v="74"/>
    <x v="4"/>
    <x v="3"/>
    <x v="3"/>
    <x v="2"/>
    <n v="275000"/>
    <n v="3"/>
    <x v="0"/>
    <x v="1"/>
    <n v="825000"/>
  </r>
  <r>
    <s v="ORD0609"/>
    <x v="124"/>
    <x v="5"/>
    <x v="0"/>
    <x v="0"/>
    <x v="0"/>
    <n v="375000"/>
    <n v="2"/>
    <x v="1"/>
    <x v="1"/>
    <n v="750000"/>
  </r>
  <r>
    <s v="ORD0610"/>
    <x v="126"/>
    <x v="6"/>
    <x v="4"/>
    <x v="0"/>
    <x v="5"/>
    <n v="250000"/>
    <n v="1"/>
    <x v="0"/>
    <x v="0"/>
    <n v="250000"/>
  </r>
  <r>
    <s v="ORD0611"/>
    <x v="125"/>
    <x v="6"/>
    <x v="4"/>
    <x v="0"/>
    <x v="0"/>
    <n v="250000"/>
    <n v="3"/>
    <x v="1"/>
    <x v="0"/>
    <n v="750000"/>
  </r>
  <r>
    <s v="ORD0612"/>
    <x v="3"/>
    <x v="7"/>
    <x v="5"/>
    <x v="3"/>
    <x v="3"/>
    <n v="75000"/>
    <n v="2"/>
    <x v="1"/>
    <x v="1"/>
    <n v="150000"/>
  </r>
  <r>
    <s v="ORD0613"/>
    <x v="104"/>
    <x v="2"/>
    <x v="1"/>
    <x v="0"/>
    <x v="5"/>
    <n v="240000"/>
    <n v="1"/>
    <x v="0"/>
    <x v="0"/>
    <n v="240000"/>
  </r>
  <r>
    <s v="ORD0614"/>
    <x v="13"/>
    <x v="0"/>
    <x v="0"/>
    <x v="2"/>
    <x v="1"/>
    <n v="350000"/>
    <n v="2"/>
    <x v="1"/>
    <x v="0"/>
    <n v="700000"/>
  </r>
  <r>
    <s v="ORD0615"/>
    <x v="100"/>
    <x v="5"/>
    <x v="0"/>
    <x v="0"/>
    <x v="0"/>
    <n v="375000"/>
    <n v="1"/>
    <x v="1"/>
    <x v="1"/>
    <n v="375000"/>
  </r>
  <r>
    <s v="ORD0616"/>
    <x v="58"/>
    <x v="5"/>
    <x v="0"/>
    <x v="2"/>
    <x v="4"/>
    <n v="375000"/>
    <n v="1"/>
    <x v="0"/>
    <x v="1"/>
    <n v="375000"/>
  </r>
  <r>
    <s v="ORD0617"/>
    <x v="110"/>
    <x v="3"/>
    <x v="2"/>
    <x v="2"/>
    <x v="4"/>
    <n v="300000"/>
    <n v="1"/>
    <x v="0"/>
    <x v="1"/>
    <n v="300000"/>
  </r>
  <r>
    <s v="ORD0618"/>
    <x v="119"/>
    <x v="2"/>
    <x v="1"/>
    <x v="0"/>
    <x v="0"/>
    <n v="240000"/>
    <n v="1"/>
    <x v="0"/>
    <x v="1"/>
    <n v="240000"/>
  </r>
  <r>
    <s v="ORD0619"/>
    <x v="89"/>
    <x v="3"/>
    <x v="2"/>
    <x v="0"/>
    <x v="5"/>
    <n v="300000"/>
    <n v="3"/>
    <x v="0"/>
    <x v="0"/>
    <n v="900000"/>
  </r>
  <r>
    <s v="ORD0620"/>
    <x v="132"/>
    <x v="1"/>
    <x v="1"/>
    <x v="3"/>
    <x v="1"/>
    <n v="225000"/>
    <n v="2"/>
    <x v="1"/>
    <x v="0"/>
    <n v="450000"/>
  </r>
  <r>
    <s v="ORD0621"/>
    <x v="106"/>
    <x v="7"/>
    <x v="5"/>
    <x v="3"/>
    <x v="0"/>
    <n v="75000"/>
    <n v="2"/>
    <x v="1"/>
    <x v="1"/>
    <n v="150000"/>
  </r>
  <r>
    <s v="ORD0622"/>
    <x v="10"/>
    <x v="0"/>
    <x v="0"/>
    <x v="1"/>
    <x v="1"/>
    <n v="350000"/>
    <n v="3"/>
    <x v="0"/>
    <x v="0"/>
    <n v="1050000"/>
  </r>
  <r>
    <s v="ORD0623"/>
    <x v="155"/>
    <x v="6"/>
    <x v="4"/>
    <x v="1"/>
    <x v="0"/>
    <n v="250000"/>
    <n v="1"/>
    <x v="1"/>
    <x v="0"/>
    <n v="250000"/>
  </r>
  <r>
    <s v="ORD0624"/>
    <x v="27"/>
    <x v="1"/>
    <x v="1"/>
    <x v="2"/>
    <x v="3"/>
    <n v="225000"/>
    <n v="1"/>
    <x v="0"/>
    <x v="0"/>
    <n v="225000"/>
  </r>
  <r>
    <s v="ORD0625"/>
    <x v="105"/>
    <x v="7"/>
    <x v="5"/>
    <x v="0"/>
    <x v="1"/>
    <n v="75000"/>
    <n v="1"/>
    <x v="1"/>
    <x v="0"/>
    <n v="75000"/>
  </r>
  <r>
    <s v="ORD0626"/>
    <x v="150"/>
    <x v="1"/>
    <x v="1"/>
    <x v="2"/>
    <x v="2"/>
    <n v="225000"/>
    <n v="1"/>
    <x v="1"/>
    <x v="0"/>
    <n v="225000"/>
  </r>
  <r>
    <s v="ORD0627"/>
    <x v="15"/>
    <x v="6"/>
    <x v="4"/>
    <x v="3"/>
    <x v="2"/>
    <n v="250000"/>
    <n v="1"/>
    <x v="1"/>
    <x v="1"/>
    <n v="250000"/>
  </r>
  <r>
    <s v="ORD0628"/>
    <x v="132"/>
    <x v="4"/>
    <x v="3"/>
    <x v="3"/>
    <x v="1"/>
    <n v="275000"/>
    <n v="1"/>
    <x v="0"/>
    <x v="0"/>
    <n v="275000"/>
  </r>
  <r>
    <s v="ORD0629"/>
    <x v="49"/>
    <x v="2"/>
    <x v="1"/>
    <x v="3"/>
    <x v="0"/>
    <n v="240000"/>
    <n v="3"/>
    <x v="0"/>
    <x v="0"/>
    <n v="720000"/>
  </r>
  <r>
    <s v="ORD0630"/>
    <x v="1"/>
    <x v="5"/>
    <x v="0"/>
    <x v="2"/>
    <x v="1"/>
    <n v="375000"/>
    <n v="1"/>
    <x v="1"/>
    <x v="1"/>
    <n v="375000"/>
  </r>
  <r>
    <s v="ORD0631"/>
    <x v="15"/>
    <x v="6"/>
    <x v="4"/>
    <x v="3"/>
    <x v="1"/>
    <n v="250000"/>
    <n v="3"/>
    <x v="0"/>
    <x v="0"/>
    <n v="750000"/>
  </r>
  <r>
    <s v="ORD0632"/>
    <x v="20"/>
    <x v="6"/>
    <x v="4"/>
    <x v="3"/>
    <x v="3"/>
    <n v="250000"/>
    <n v="3"/>
    <x v="0"/>
    <x v="0"/>
    <n v="750000"/>
  </r>
  <r>
    <s v="ORD0633"/>
    <x v="56"/>
    <x v="0"/>
    <x v="0"/>
    <x v="0"/>
    <x v="0"/>
    <n v="350000"/>
    <n v="1"/>
    <x v="0"/>
    <x v="0"/>
    <n v="350000"/>
  </r>
  <r>
    <s v="ORD0634"/>
    <x v="80"/>
    <x v="7"/>
    <x v="5"/>
    <x v="1"/>
    <x v="5"/>
    <n v="75000"/>
    <n v="1"/>
    <x v="1"/>
    <x v="0"/>
    <n v="75000"/>
  </r>
  <r>
    <s v="ORD0635"/>
    <x v="5"/>
    <x v="3"/>
    <x v="2"/>
    <x v="0"/>
    <x v="2"/>
    <n v="300000"/>
    <n v="3"/>
    <x v="1"/>
    <x v="0"/>
    <n v="900000"/>
  </r>
  <r>
    <s v="ORD0636"/>
    <x v="47"/>
    <x v="5"/>
    <x v="0"/>
    <x v="0"/>
    <x v="4"/>
    <n v="375000"/>
    <n v="1"/>
    <x v="1"/>
    <x v="0"/>
    <n v="375000"/>
  </r>
  <r>
    <s v="ORD0637"/>
    <x v="56"/>
    <x v="3"/>
    <x v="2"/>
    <x v="1"/>
    <x v="1"/>
    <n v="300000"/>
    <n v="1"/>
    <x v="0"/>
    <x v="1"/>
    <n v="300000"/>
  </r>
  <r>
    <s v="ORD0638"/>
    <x v="174"/>
    <x v="6"/>
    <x v="4"/>
    <x v="1"/>
    <x v="5"/>
    <n v="250000"/>
    <n v="2"/>
    <x v="1"/>
    <x v="0"/>
    <n v="500000"/>
  </r>
  <r>
    <s v="ORD0639"/>
    <x v="87"/>
    <x v="1"/>
    <x v="1"/>
    <x v="2"/>
    <x v="1"/>
    <n v="225000"/>
    <n v="1"/>
    <x v="0"/>
    <x v="1"/>
    <n v="225000"/>
  </r>
  <r>
    <s v="ORD0640"/>
    <x v="62"/>
    <x v="2"/>
    <x v="1"/>
    <x v="3"/>
    <x v="4"/>
    <n v="240000"/>
    <n v="1"/>
    <x v="1"/>
    <x v="1"/>
    <n v="240000"/>
  </r>
  <r>
    <s v="ORD0641"/>
    <x v="162"/>
    <x v="4"/>
    <x v="3"/>
    <x v="0"/>
    <x v="2"/>
    <n v="275000"/>
    <n v="3"/>
    <x v="1"/>
    <x v="0"/>
    <n v="825000"/>
  </r>
  <r>
    <s v="ORD0642"/>
    <x v="94"/>
    <x v="5"/>
    <x v="0"/>
    <x v="1"/>
    <x v="4"/>
    <n v="375000"/>
    <n v="3"/>
    <x v="1"/>
    <x v="0"/>
    <n v="1125000"/>
  </r>
  <r>
    <s v="ORD0643"/>
    <x v="46"/>
    <x v="3"/>
    <x v="2"/>
    <x v="0"/>
    <x v="5"/>
    <n v="300000"/>
    <n v="1"/>
    <x v="0"/>
    <x v="1"/>
    <n v="300000"/>
  </r>
  <r>
    <s v="ORD0644"/>
    <x v="9"/>
    <x v="3"/>
    <x v="2"/>
    <x v="1"/>
    <x v="0"/>
    <n v="300000"/>
    <n v="2"/>
    <x v="0"/>
    <x v="1"/>
    <n v="600000"/>
  </r>
  <r>
    <s v="ORD0645"/>
    <x v="74"/>
    <x v="7"/>
    <x v="5"/>
    <x v="1"/>
    <x v="2"/>
    <n v="75000"/>
    <n v="3"/>
    <x v="1"/>
    <x v="0"/>
    <n v="225000"/>
  </r>
  <r>
    <s v="ORD0646"/>
    <x v="8"/>
    <x v="4"/>
    <x v="3"/>
    <x v="2"/>
    <x v="4"/>
    <n v="275000"/>
    <n v="2"/>
    <x v="0"/>
    <x v="0"/>
    <n v="550000"/>
  </r>
  <r>
    <s v="ORD0647"/>
    <x v="133"/>
    <x v="2"/>
    <x v="1"/>
    <x v="2"/>
    <x v="5"/>
    <n v="240000"/>
    <n v="1"/>
    <x v="1"/>
    <x v="0"/>
    <n v="240000"/>
  </r>
  <r>
    <s v="ORD0648"/>
    <x v="144"/>
    <x v="4"/>
    <x v="3"/>
    <x v="3"/>
    <x v="2"/>
    <n v="275000"/>
    <n v="1"/>
    <x v="0"/>
    <x v="0"/>
    <n v="275000"/>
  </r>
  <r>
    <s v="ORD0649"/>
    <x v="5"/>
    <x v="1"/>
    <x v="1"/>
    <x v="0"/>
    <x v="5"/>
    <n v="225000"/>
    <n v="1"/>
    <x v="0"/>
    <x v="1"/>
    <n v="225000"/>
  </r>
  <r>
    <s v="ORD0650"/>
    <x v="62"/>
    <x v="6"/>
    <x v="4"/>
    <x v="3"/>
    <x v="2"/>
    <n v="250000"/>
    <n v="3"/>
    <x v="0"/>
    <x v="1"/>
    <n v="750000"/>
  </r>
  <r>
    <s v="ORD0651"/>
    <x v="54"/>
    <x v="7"/>
    <x v="5"/>
    <x v="3"/>
    <x v="5"/>
    <n v="75000"/>
    <n v="1"/>
    <x v="1"/>
    <x v="1"/>
    <n v="75000"/>
  </r>
  <r>
    <s v="ORD0652"/>
    <x v="138"/>
    <x v="0"/>
    <x v="0"/>
    <x v="1"/>
    <x v="3"/>
    <n v="350000"/>
    <n v="3"/>
    <x v="0"/>
    <x v="0"/>
    <n v="1050000"/>
  </r>
  <r>
    <s v="ORD0653"/>
    <x v="166"/>
    <x v="3"/>
    <x v="2"/>
    <x v="2"/>
    <x v="5"/>
    <n v="300000"/>
    <n v="2"/>
    <x v="0"/>
    <x v="1"/>
    <n v="600000"/>
  </r>
  <r>
    <s v="ORD0654"/>
    <x v="33"/>
    <x v="1"/>
    <x v="1"/>
    <x v="2"/>
    <x v="5"/>
    <n v="225000"/>
    <n v="1"/>
    <x v="0"/>
    <x v="1"/>
    <n v="225000"/>
  </r>
  <r>
    <s v="ORD0655"/>
    <x v="140"/>
    <x v="3"/>
    <x v="2"/>
    <x v="3"/>
    <x v="2"/>
    <n v="300000"/>
    <n v="3"/>
    <x v="0"/>
    <x v="1"/>
    <n v="900000"/>
  </r>
  <r>
    <s v="ORD0656"/>
    <x v="156"/>
    <x v="6"/>
    <x v="4"/>
    <x v="2"/>
    <x v="5"/>
    <n v="250000"/>
    <n v="1"/>
    <x v="0"/>
    <x v="0"/>
    <n v="250000"/>
  </r>
  <r>
    <s v="ORD0657"/>
    <x v="66"/>
    <x v="4"/>
    <x v="3"/>
    <x v="0"/>
    <x v="1"/>
    <n v="275000"/>
    <n v="2"/>
    <x v="0"/>
    <x v="0"/>
    <n v="550000"/>
  </r>
  <r>
    <s v="ORD0658"/>
    <x v="100"/>
    <x v="5"/>
    <x v="0"/>
    <x v="2"/>
    <x v="4"/>
    <n v="375000"/>
    <n v="1"/>
    <x v="1"/>
    <x v="0"/>
    <n v="375000"/>
  </r>
  <r>
    <s v="ORD0659"/>
    <x v="138"/>
    <x v="6"/>
    <x v="4"/>
    <x v="2"/>
    <x v="4"/>
    <n v="250000"/>
    <n v="3"/>
    <x v="1"/>
    <x v="1"/>
    <n v="750000"/>
  </r>
  <r>
    <s v="ORD0660"/>
    <x v="129"/>
    <x v="0"/>
    <x v="0"/>
    <x v="3"/>
    <x v="5"/>
    <n v="350000"/>
    <n v="3"/>
    <x v="1"/>
    <x v="0"/>
    <n v="1050000"/>
  </r>
  <r>
    <s v="ORD0661"/>
    <x v="51"/>
    <x v="3"/>
    <x v="2"/>
    <x v="0"/>
    <x v="2"/>
    <n v="300000"/>
    <n v="3"/>
    <x v="0"/>
    <x v="0"/>
    <n v="900000"/>
  </r>
  <r>
    <s v="ORD0662"/>
    <x v="90"/>
    <x v="3"/>
    <x v="2"/>
    <x v="0"/>
    <x v="4"/>
    <n v="300000"/>
    <n v="2"/>
    <x v="1"/>
    <x v="1"/>
    <n v="600000"/>
  </r>
  <r>
    <s v="ORD0663"/>
    <x v="123"/>
    <x v="6"/>
    <x v="4"/>
    <x v="1"/>
    <x v="5"/>
    <n v="250000"/>
    <n v="3"/>
    <x v="0"/>
    <x v="1"/>
    <n v="750000"/>
  </r>
  <r>
    <s v="ORD0664"/>
    <x v="32"/>
    <x v="3"/>
    <x v="2"/>
    <x v="1"/>
    <x v="3"/>
    <n v="300000"/>
    <n v="1"/>
    <x v="0"/>
    <x v="1"/>
    <n v="300000"/>
  </r>
  <r>
    <s v="ORD0665"/>
    <x v="173"/>
    <x v="6"/>
    <x v="4"/>
    <x v="0"/>
    <x v="4"/>
    <n v="250000"/>
    <n v="3"/>
    <x v="0"/>
    <x v="0"/>
    <n v="750000"/>
  </r>
  <r>
    <s v="ORD0666"/>
    <x v="87"/>
    <x v="3"/>
    <x v="2"/>
    <x v="1"/>
    <x v="0"/>
    <n v="300000"/>
    <n v="2"/>
    <x v="1"/>
    <x v="0"/>
    <n v="600000"/>
  </r>
  <r>
    <s v="ORD0667"/>
    <x v="11"/>
    <x v="2"/>
    <x v="1"/>
    <x v="0"/>
    <x v="2"/>
    <n v="240000"/>
    <n v="3"/>
    <x v="1"/>
    <x v="0"/>
    <n v="720000"/>
  </r>
  <r>
    <s v="ORD0668"/>
    <x v="175"/>
    <x v="6"/>
    <x v="4"/>
    <x v="3"/>
    <x v="5"/>
    <n v="250000"/>
    <n v="2"/>
    <x v="0"/>
    <x v="1"/>
    <n v="500000"/>
  </r>
  <r>
    <s v="ORD0669"/>
    <x v="5"/>
    <x v="3"/>
    <x v="2"/>
    <x v="0"/>
    <x v="1"/>
    <n v="300000"/>
    <n v="3"/>
    <x v="1"/>
    <x v="1"/>
    <n v="900000"/>
  </r>
  <r>
    <s v="ORD0670"/>
    <x v="62"/>
    <x v="3"/>
    <x v="2"/>
    <x v="0"/>
    <x v="0"/>
    <n v="300000"/>
    <n v="1"/>
    <x v="0"/>
    <x v="1"/>
    <n v="300000"/>
  </r>
  <r>
    <s v="ORD0671"/>
    <x v="142"/>
    <x v="5"/>
    <x v="0"/>
    <x v="2"/>
    <x v="3"/>
    <n v="375000"/>
    <n v="2"/>
    <x v="1"/>
    <x v="1"/>
    <n v="750000"/>
  </r>
  <r>
    <s v="ORD0672"/>
    <x v="146"/>
    <x v="4"/>
    <x v="3"/>
    <x v="1"/>
    <x v="3"/>
    <n v="275000"/>
    <n v="1"/>
    <x v="0"/>
    <x v="0"/>
    <n v="275000"/>
  </r>
  <r>
    <s v="ORD0673"/>
    <x v="34"/>
    <x v="5"/>
    <x v="0"/>
    <x v="1"/>
    <x v="4"/>
    <n v="375000"/>
    <n v="2"/>
    <x v="1"/>
    <x v="0"/>
    <n v="750000"/>
  </r>
  <r>
    <s v="ORD0674"/>
    <x v="136"/>
    <x v="7"/>
    <x v="5"/>
    <x v="0"/>
    <x v="1"/>
    <n v="75000"/>
    <n v="3"/>
    <x v="1"/>
    <x v="1"/>
    <n v="225000"/>
  </r>
  <r>
    <s v="ORD0675"/>
    <x v="123"/>
    <x v="3"/>
    <x v="2"/>
    <x v="1"/>
    <x v="0"/>
    <n v="300000"/>
    <n v="1"/>
    <x v="1"/>
    <x v="1"/>
    <n v="300000"/>
  </r>
  <r>
    <s v="ORD0676"/>
    <x v="117"/>
    <x v="7"/>
    <x v="5"/>
    <x v="3"/>
    <x v="2"/>
    <n v="75000"/>
    <n v="1"/>
    <x v="0"/>
    <x v="0"/>
    <n v="75000"/>
  </r>
  <r>
    <s v="ORD0677"/>
    <x v="156"/>
    <x v="1"/>
    <x v="1"/>
    <x v="3"/>
    <x v="0"/>
    <n v="225000"/>
    <n v="2"/>
    <x v="0"/>
    <x v="0"/>
    <n v="450000"/>
  </r>
  <r>
    <s v="ORD0678"/>
    <x v="27"/>
    <x v="6"/>
    <x v="4"/>
    <x v="1"/>
    <x v="3"/>
    <n v="250000"/>
    <n v="3"/>
    <x v="1"/>
    <x v="1"/>
    <n v="750000"/>
  </r>
  <r>
    <s v="ORD0679"/>
    <x v="45"/>
    <x v="7"/>
    <x v="5"/>
    <x v="1"/>
    <x v="4"/>
    <n v="75000"/>
    <n v="2"/>
    <x v="0"/>
    <x v="1"/>
    <n v="150000"/>
  </r>
  <r>
    <s v="ORD0680"/>
    <x v="70"/>
    <x v="7"/>
    <x v="5"/>
    <x v="0"/>
    <x v="5"/>
    <n v="75000"/>
    <n v="2"/>
    <x v="0"/>
    <x v="1"/>
    <n v="150000"/>
  </r>
  <r>
    <s v="ORD0681"/>
    <x v="110"/>
    <x v="5"/>
    <x v="0"/>
    <x v="1"/>
    <x v="4"/>
    <n v="375000"/>
    <n v="1"/>
    <x v="0"/>
    <x v="1"/>
    <n v="375000"/>
  </r>
  <r>
    <s v="ORD0682"/>
    <x v="123"/>
    <x v="5"/>
    <x v="0"/>
    <x v="2"/>
    <x v="0"/>
    <n v="375000"/>
    <n v="3"/>
    <x v="0"/>
    <x v="0"/>
    <n v="1125000"/>
  </r>
  <r>
    <s v="ORD0683"/>
    <x v="104"/>
    <x v="6"/>
    <x v="4"/>
    <x v="1"/>
    <x v="0"/>
    <n v="250000"/>
    <n v="2"/>
    <x v="1"/>
    <x v="1"/>
    <n v="500000"/>
  </r>
  <r>
    <s v="ORD0684"/>
    <x v="66"/>
    <x v="3"/>
    <x v="2"/>
    <x v="1"/>
    <x v="5"/>
    <n v="300000"/>
    <n v="3"/>
    <x v="1"/>
    <x v="1"/>
    <n v="900000"/>
  </r>
  <r>
    <s v="ORD0685"/>
    <x v="80"/>
    <x v="0"/>
    <x v="0"/>
    <x v="2"/>
    <x v="2"/>
    <n v="350000"/>
    <n v="1"/>
    <x v="0"/>
    <x v="1"/>
    <n v="350000"/>
  </r>
  <r>
    <s v="ORD0686"/>
    <x v="4"/>
    <x v="0"/>
    <x v="0"/>
    <x v="3"/>
    <x v="5"/>
    <n v="350000"/>
    <n v="2"/>
    <x v="0"/>
    <x v="1"/>
    <n v="700000"/>
  </r>
  <r>
    <s v="ORD0687"/>
    <x v="29"/>
    <x v="3"/>
    <x v="2"/>
    <x v="0"/>
    <x v="4"/>
    <n v="300000"/>
    <n v="1"/>
    <x v="1"/>
    <x v="1"/>
    <n v="300000"/>
  </r>
  <r>
    <s v="ORD0688"/>
    <x v="90"/>
    <x v="7"/>
    <x v="5"/>
    <x v="2"/>
    <x v="5"/>
    <n v="75000"/>
    <n v="2"/>
    <x v="1"/>
    <x v="0"/>
    <n v="150000"/>
  </r>
  <r>
    <s v="ORD0689"/>
    <x v="89"/>
    <x v="0"/>
    <x v="0"/>
    <x v="2"/>
    <x v="4"/>
    <n v="350000"/>
    <n v="2"/>
    <x v="1"/>
    <x v="0"/>
    <n v="700000"/>
  </r>
  <r>
    <s v="ORD0690"/>
    <x v="135"/>
    <x v="6"/>
    <x v="4"/>
    <x v="3"/>
    <x v="0"/>
    <n v="250000"/>
    <n v="1"/>
    <x v="0"/>
    <x v="0"/>
    <n v="250000"/>
  </r>
  <r>
    <s v="ORD0691"/>
    <x v="146"/>
    <x v="7"/>
    <x v="5"/>
    <x v="2"/>
    <x v="1"/>
    <n v="75000"/>
    <n v="1"/>
    <x v="1"/>
    <x v="1"/>
    <n v="75000"/>
  </r>
  <r>
    <s v="ORD0692"/>
    <x v="1"/>
    <x v="4"/>
    <x v="3"/>
    <x v="1"/>
    <x v="1"/>
    <n v="275000"/>
    <n v="2"/>
    <x v="1"/>
    <x v="1"/>
    <n v="550000"/>
  </r>
  <r>
    <s v="ORD0693"/>
    <x v="87"/>
    <x v="5"/>
    <x v="0"/>
    <x v="0"/>
    <x v="4"/>
    <n v="375000"/>
    <n v="2"/>
    <x v="0"/>
    <x v="1"/>
    <n v="750000"/>
  </r>
  <r>
    <s v="ORD0694"/>
    <x v="121"/>
    <x v="1"/>
    <x v="1"/>
    <x v="1"/>
    <x v="3"/>
    <n v="225000"/>
    <n v="2"/>
    <x v="1"/>
    <x v="0"/>
    <n v="450000"/>
  </r>
  <r>
    <s v="ORD0695"/>
    <x v="99"/>
    <x v="2"/>
    <x v="1"/>
    <x v="2"/>
    <x v="4"/>
    <n v="240000"/>
    <n v="3"/>
    <x v="0"/>
    <x v="1"/>
    <n v="720000"/>
  </r>
  <r>
    <s v="ORD0696"/>
    <x v="96"/>
    <x v="0"/>
    <x v="0"/>
    <x v="3"/>
    <x v="4"/>
    <n v="350000"/>
    <n v="1"/>
    <x v="0"/>
    <x v="1"/>
    <n v="350000"/>
  </r>
  <r>
    <s v="ORD0697"/>
    <x v="130"/>
    <x v="3"/>
    <x v="2"/>
    <x v="0"/>
    <x v="4"/>
    <n v="300000"/>
    <n v="3"/>
    <x v="0"/>
    <x v="1"/>
    <n v="900000"/>
  </r>
  <r>
    <s v="ORD0698"/>
    <x v="7"/>
    <x v="6"/>
    <x v="4"/>
    <x v="1"/>
    <x v="2"/>
    <n v="250000"/>
    <n v="2"/>
    <x v="0"/>
    <x v="1"/>
    <n v="500000"/>
  </r>
  <r>
    <s v="ORD0699"/>
    <x v="85"/>
    <x v="6"/>
    <x v="4"/>
    <x v="0"/>
    <x v="4"/>
    <n v="250000"/>
    <n v="1"/>
    <x v="0"/>
    <x v="1"/>
    <n v="250000"/>
  </r>
  <r>
    <s v="ORD0700"/>
    <x v="155"/>
    <x v="2"/>
    <x v="1"/>
    <x v="0"/>
    <x v="4"/>
    <n v="240000"/>
    <n v="2"/>
    <x v="0"/>
    <x v="0"/>
    <n v="480000"/>
  </r>
  <r>
    <s v="ORD0701"/>
    <x v="0"/>
    <x v="0"/>
    <x v="0"/>
    <x v="2"/>
    <x v="1"/>
    <n v="350000"/>
    <n v="2"/>
    <x v="0"/>
    <x v="0"/>
    <n v="700000"/>
  </r>
  <r>
    <s v="ORD0702"/>
    <x v="47"/>
    <x v="4"/>
    <x v="3"/>
    <x v="1"/>
    <x v="5"/>
    <n v="275000"/>
    <n v="1"/>
    <x v="0"/>
    <x v="0"/>
    <n v="275000"/>
  </r>
  <r>
    <s v="ORD0703"/>
    <x v="149"/>
    <x v="1"/>
    <x v="1"/>
    <x v="1"/>
    <x v="5"/>
    <n v="225000"/>
    <n v="3"/>
    <x v="0"/>
    <x v="1"/>
    <n v="67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87D65D-B1B4-1E48-B731-F3E717221087}" name="PivotTable2"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14">
  <location ref="D3:E5" firstHeaderRow="1" firstDataRow="1" firstDataCol="1"/>
  <pivotFields count="12">
    <pivotField showAll="0"/>
    <pivotField numFmtId="14" showAll="0">
      <items count="177">
        <item x="131"/>
        <item x="17"/>
        <item x="62"/>
        <item x="155"/>
        <item x="25"/>
        <item x="118"/>
        <item x="59"/>
        <item x="149"/>
        <item x="173"/>
        <item x="165"/>
        <item x="127"/>
        <item x="71"/>
        <item x="116"/>
        <item x="58"/>
        <item x="132"/>
        <item x="147"/>
        <item x="162"/>
        <item x="56"/>
        <item x="134"/>
        <item x="110"/>
        <item x="175"/>
        <item x="85"/>
        <item x="97"/>
        <item x="95"/>
        <item x="5"/>
        <item x="103"/>
        <item x="80"/>
        <item x="174"/>
        <item x="101"/>
        <item x="10"/>
        <item x="79"/>
        <item x="38"/>
        <item x="73"/>
        <item x="28"/>
        <item x="67"/>
        <item x="2"/>
        <item x="23"/>
        <item x="88"/>
        <item x="43"/>
        <item x="41"/>
        <item x="70"/>
        <item x="53"/>
        <item x="136"/>
        <item x="76"/>
        <item x="158"/>
        <item x="36"/>
        <item x="108"/>
        <item x="51"/>
        <item x="89"/>
        <item x="138"/>
        <item x="157"/>
        <item x="87"/>
        <item x="143"/>
        <item x="6"/>
        <item x="72"/>
        <item x="39"/>
        <item x="19"/>
        <item x="139"/>
        <item x="166"/>
        <item x="37"/>
        <item x="135"/>
        <item x="119"/>
        <item x="133"/>
        <item x="64"/>
        <item x="146"/>
        <item x="11"/>
        <item x="148"/>
        <item x="169"/>
        <item x="32"/>
        <item x="90"/>
        <item x="126"/>
        <item x="105"/>
        <item x="81"/>
        <item x="122"/>
        <item x="65"/>
        <item x="16"/>
        <item x="117"/>
        <item x="86"/>
        <item x="160"/>
        <item x="24"/>
        <item x="29"/>
        <item x="96"/>
        <item x="0"/>
        <item x="22"/>
        <item x="142"/>
        <item x="83"/>
        <item x="102"/>
        <item x="99"/>
        <item x="106"/>
        <item x="68"/>
        <item x="129"/>
        <item x="121"/>
        <item x="34"/>
        <item x="55"/>
        <item x="130"/>
        <item x="9"/>
        <item x="26"/>
        <item x="18"/>
        <item x="50"/>
        <item x="13"/>
        <item x="54"/>
        <item x="4"/>
        <item x="60"/>
        <item x="128"/>
        <item x="167"/>
        <item x="75"/>
        <item x="104"/>
        <item x="115"/>
        <item x="170"/>
        <item x="111"/>
        <item x="42"/>
        <item x="98"/>
        <item x="66"/>
        <item x="124"/>
        <item x="91"/>
        <item x="151"/>
        <item x="77"/>
        <item x="141"/>
        <item x="164"/>
        <item x="109"/>
        <item x="3"/>
        <item x="12"/>
        <item x="161"/>
        <item x="49"/>
        <item x="140"/>
        <item x="69"/>
        <item x="100"/>
        <item x="52"/>
        <item x="63"/>
        <item x="78"/>
        <item x="137"/>
        <item x="1"/>
        <item x="92"/>
        <item x="112"/>
        <item x="153"/>
        <item x="168"/>
        <item x="159"/>
        <item x="15"/>
        <item x="57"/>
        <item x="82"/>
        <item x="150"/>
        <item x="113"/>
        <item x="125"/>
        <item x="84"/>
        <item x="46"/>
        <item x="152"/>
        <item x="163"/>
        <item x="44"/>
        <item x="7"/>
        <item x="14"/>
        <item x="145"/>
        <item x="171"/>
        <item x="31"/>
        <item x="114"/>
        <item x="61"/>
        <item x="154"/>
        <item x="48"/>
        <item x="45"/>
        <item x="33"/>
        <item x="27"/>
        <item x="93"/>
        <item x="94"/>
        <item x="172"/>
        <item x="21"/>
        <item x="47"/>
        <item x="107"/>
        <item x="40"/>
        <item x="144"/>
        <item x="8"/>
        <item x="123"/>
        <item x="156"/>
        <item x="20"/>
        <item x="74"/>
        <item x="120"/>
        <item x="35"/>
        <item x="30"/>
        <item t="default"/>
      </items>
    </pivotField>
    <pivotField showAll="0"/>
    <pivotField axis="axisRow" showAll="0" sortType="descending">
      <items count="7">
        <item h="1" x="5"/>
        <item x="1"/>
        <item h="1" x="4"/>
        <item h="1" x="0"/>
        <item h="1" x="2"/>
        <item h="1" x="3"/>
        <item t="default"/>
      </items>
      <autoSortScope>
        <pivotArea dataOnly="0" outline="0" fieldPosition="0">
          <references count="1">
            <reference field="4294967294" count="1" selected="0">
              <x v="0"/>
            </reference>
          </references>
        </pivotArea>
      </autoSortScope>
    </pivotField>
    <pivotField showAll="0">
      <items count="5">
        <item h="1" x="1"/>
        <item x="2"/>
        <item x="3"/>
        <item x="0"/>
        <item t="default"/>
      </items>
    </pivotField>
    <pivotField showAll="0"/>
    <pivotField showAll="0"/>
    <pivotField dataField="1" showAll="0"/>
    <pivotField showAll="0">
      <items count="3">
        <item h="1" x="0"/>
        <item x="1"/>
        <item t="default"/>
      </items>
    </pivotField>
    <pivotField showAll="0">
      <items count="3">
        <item x="0"/>
        <item h="1"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
    <i>
      <x v="1"/>
    </i>
    <i t="grand">
      <x/>
    </i>
  </rowItems>
  <colItems count="1">
    <i/>
  </colItems>
  <dataFields count="1">
    <dataField name="Jumlah dari Quantity" fld="7" baseField="0" baseItem="0"/>
  </dataFields>
  <formats count="6">
    <format dxfId="19">
      <pivotArea type="all" dataOnly="0" outline="0" fieldPosition="0"/>
    </format>
    <format dxfId="18">
      <pivotArea outline="0" collapsedLevelsAreSubtotals="1" fieldPosition="0"/>
    </format>
    <format dxfId="17">
      <pivotArea field="3" type="button" dataOnly="0" labelOnly="1" outline="0" axis="axisRow" fieldPosition="0"/>
    </format>
    <format dxfId="16">
      <pivotArea dataOnly="0" labelOnly="1" fieldPosition="0">
        <references count="1">
          <reference field="3" count="0"/>
        </references>
      </pivotArea>
    </format>
    <format dxfId="15">
      <pivotArea dataOnly="0" labelOnly="1" grandRow="1" outline="0" fieldPosition="0"/>
    </format>
    <format dxfId="14">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62F927-BF80-CC43-818F-6DA1113663EC}" name="PivotTable1"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8">
  <location ref="A3:B10" firstHeaderRow="1" firstDataRow="1" firstDataCol="1"/>
  <pivotFields count="12">
    <pivotField showAll="0"/>
    <pivotField axis="axisRow" numFmtId="14" showAll="0">
      <items count="177">
        <item x="131"/>
        <item x="17"/>
        <item x="62"/>
        <item x="155"/>
        <item x="25"/>
        <item x="118"/>
        <item x="59"/>
        <item x="149"/>
        <item x="173"/>
        <item x="165"/>
        <item x="127"/>
        <item x="71"/>
        <item x="116"/>
        <item x="58"/>
        <item x="132"/>
        <item x="147"/>
        <item x="162"/>
        <item x="56"/>
        <item x="134"/>
        <item x="110"/>
        <item x="175"/>
        <item x="85"/>
        <item x="97"/>
        <item x="95"/>
        <item x="5"/>
        <item x="103"/>
        <item x="80"/>
        <item x="174"/>
        <item x="101"/>
        <item x="10"/>
        <item x="79"/>
        <item x="38"/>
        <item x="73"/>
        <item x="28"/>
        <item x="67"/>
        <item x="2"/>
        <item x="23"/>
        <item x="88"/>
        <item x="43"/>
        <item x="41"/>
        <item x="70"/>
        <item x="53"/>
        <item x="136"/>
        <item x="76"/>
        <item x="158"/>
        <item x="36"/>
        <item x="108"/>
        <item x="51"/>
        <item x="89"/>
        <item x="138"/>
        <item x="157"/>
        <item x="87"/>
        <item x="143"/>
        <item x="6"/>
        <item x="72"/>
        <item x="39"/>
        <item x="19"/>
        <item x="139"/>
        <item x="166"/>
        <item x="37"/>
        <item x="135"/>
        <item x="119"/>
        <item x="133"/>
        <item x="64"/>
        <item x="146"/>
        <item x="11"/>
        <item x="148"/>
        <item x="169"/>
        <item x="32"/>
        <item x="90"/>
        <item x="126"/>
        <item x="105"/>
        <item x="81"/>
        <item x="122"/>
        <item x="65"/>
        <item x="16"/>
        <item x="117"/>
        <item x="86"/>
        <item x="160"/>
        <item x="24"/>
        <item x="29"/>
        <item x="96"/>
        <item x="0"/>
        <item x="22"/>
        <item x="142"/>
        <item x="83"/>
        <item x="102"/>
        <item x="99"/>
        <item x="106"/>
        <item x="68"/>
        <item x="129"/>
        <item x="121"/>
        <item x="34"/>
        <item x="55"/>
        <item x="130"/>
        <item x="9"/>
        <item x="26"/>
        <item x="18"/>
        <item x="50"/>
        <item x="13"/>
        <item x="54"/>
        <item x="4"/>
        <item x="60"/>
        <item x="128"/>
        <item x="167"/>
        <item x="75"/>
        <item x="104"/>
        <item x="115"/>
        <item x="170"/>
        <item x="111"/>
        <item x="42"/>
        <item x="98"/>
        <item x="66"/>
        <item x="124"/>
        <item x="91"/>
        <item x="151"/>
        <item x="77"/>
        <item x="141"/>
        <item x="164"/>
        <item x="109"/>
        <item x="3"/>
        <item x="12"/>
        <item x="161"/>
        <item x="49"/>
        <item x="140"/>
        <item x="69"/>
        <item x="100"/>
        <item x="52"/>
        <item x="63"/>
        <item x="78"/>
        <item x="137"/>
        <item x="1"/>
        <item x="92"/>
        <item x="112"/>
        <item x="153"/>
        <item x="168"/>
        <item x="159"/>
        <item x="15"/>
        <item x="57"/>
        <item x="82"/>
        <item x="150"/>
        <item x="113"/>
        <item x="125"/>
        <item x="84"/>
        <item x="46"/>
        <item x="152"/>
        <item x="163"/>
        <item x="44"/>
        <item x="7"/>
        <item x="14"/>
        <item x="145"/>
        <item x="171"/>
        <item x="31"/>
        <item x="114"/>
        <item x="61"/>
        <item x="154"/>
        <item x="48"/>
        <item x="45"/>
        <item x="33"/>
        <item x="27"/>
        <item x="93"/>
        <item x="94"/>
        <item x="172"/>
        <item x="21"/>
        <item x="47"/>
        <item x="107"/>
        <item x="40"/>
        <item x="144"/>
        <item x="8"/>
        <item x="123"/>
        <item x="156"/>
        <item x="20"/>
        <item x="74"/>
        <item x="120"/>
        <item x="35"/>
        <item x="30"/>
        <item t="default"/>
      </items>
    </pivotField>
    <pivotField showAll="0"/>
    <pivotField showAll="0">
      <items count="7">
        <item h="1" x="5"/>
        <item x="1"/>
        <item h="1" x="4"/>
        <item h="1" x="0"/>
        <item h="1" x="2"/>
        <item h="1" x="3"/>
        <item t="default"/>
      </items>
    </pivotField>
    <pivotField showAll="0">
      <items count="5">
        <item h="1" x="1"/>
        <item x="2"/>
        <item x="3"/>
        <item x="0"/>
        <item t="default"/>
      </items>
    </pivotField>
    <pivotField showAll="0"/>
    <pivotField showAll="0"/>
    <pivotField showAll="0"/>
    <pivotField showAll="0">
      <items count="3">
        <item h="1" x="0"/>
        <item x="1"/>
        <item t="default"/>
      </items>
    </pivotField>
    <pivotField showAll="0">
      <items count="3">
        <item x="0"/>
        <item h="1" x="1"/>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1"/>
    <field x="1"/>
  </rowFields>
  <rowItems count="7">
    <i>
      <x v="1"/>
    </i>
    <i>
      <x v="2"/>
    </i>
    <i>
      <x v="3"/>
    </i>
    <i>
      <x v="4"/>
    </i>
    <i>
      <x v="5"/>
    </i>
    <i>
      <x v="6"/>
    </i>
    <i t="grand">
      <x/>
    </i>
  </rowItems>
  <colItems count="1">
    <i/>
  </colItems>
  <dataFields count="1">
    <dataField name="Jumlah dari Total_Sales" fld="10" baseField="0" baseItem="0" numFmtId="164"/>
  </dataFields>
  <formats count="6">
    <format dxfId="25">
      <pivotArea type="all" dataOnly="0" outline="0" fieldPosition="0"/>
    </format>
    <format dxfId="24">
      <pivotArea outline="0" collapsedLevelsAreSubtotals="1" fieldPosition="0"/>
    </format>
    <format dxfId="23">
      <pivotArea field="11" type="button" dataOnly="0" labelOnly="1" outline="0" axis="axisRow" fieldPosition="0"/>
    </format>
    <format dxfId="22">
      <pivotArea dataOnly="0" labelOnly="1" fieldPosition="0">
        <references count="1">
          <reference field="11" count="6">
            <x v="1"/>
            <x v="2"/>
            <x v="3"/>
            <x v="4"/>
            <x v="5"/>
            <x v="6"/>
          </reference>
        </references>
      </pivotArea>
    </format>
    <format dxfId="21">
      <pivotArea dataOnly="0" labelOnly="1" grandRow="1" outline="0" fieldPosition="0"/>
    </format>
    <format dxfId="20">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4800A5-378B-E848-BEFB-875357FF8155}" name="PivotTable5"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20">
  <location ref="O3:P7" firstHeaderRow="1" firstDataRow="1" firstDataCol="1"/>
  <pivotFields count="12">
    <pivotField showAll="0"/>
    <pivotField numFmtId="14" showAll="0">
      <items count="177">
        <item x="131"/>
        <item x="17"/>
        <item x="62"/>
        <item x="155"/>
        <item x="25"/>
        <item x="118"/>
        <item x="59"/>
        <item x="149"/>
        <item x="173"/>
        <item x="165"/>
        <item x="127"/>
        <item x="71"/>
        <item x="116"/>
        <item x="58"/>
        <item x="132"/>
        <item x="147"/>
        <item x="162"/>
        <item x="56"/>
        <item x="134"/>
        <item x="110"/>
        <item x="175"/>
        <item x="85"/>
        <item x="97"/>
        <item x="95"/>
        <item x="5"/>
        <item x="103"/>
        <item x="80"/>
        <item x="174"/>
        <item x="101"/>
        <item x="10"/>
        <item x="79"/>
        <item x="38"/>
        <item x="73"/>
        <item x="28"/>
        <item x="67"/>
        <item x="2"/>
        <item x="23"/>
        <item x="88"/>
        <item x="43"/>
        <item x="41"/>
        <item x="70"/>
        <item x="53"/>
        <item x="136"/>
        <item x="76"/>
        <item x="158"/>
        <item x="36"/>
        <item x="108"/>
        <item x="51"/>
        <item x="89"/>
        <item x="138"/>
        <item x="157"/>
        <item x="87"/>
        <item x="143"/>
        <item x="6"/>
        <item x="72"/>
        <item x="39"/>
        <item x="19"/>
        <item x="139"/>
        <item x="166"/>
        <item x="37"/>
        <item x="135"/>
        <item x="119"/>
        <item x="133"/>
        <item x="64"/>
        <item x="146"/>
        <item x="11"/>
        <item x="148"/>
        <item x="169"/>
        <item x="32"/>
        <item x="90"/>
        <item x="126"/>
        <item x="105"/>
        <item x="81"/>
        <item x="122"/>
        <item x="65"/>
        <item x="16"/>
        <item x="117"/>
        <item x="86"/>
        <item x="160"/>
        <item x="24"/>
        <item x="29"/>
        <item x="96"/>
        <item x="0"/>
        <item x="22"/>
        <item x="142"/>
        <item x="83"/>
        <item x="102"/>
        <item x="99"/>
        <item x="106"/>
        <item x="68"/>
        <item x="129"/>
        <item x="121"/>
        <item x="34"/>
        <item x="55"/>
        <item x="130"/>
        <item x="9"/>
        <item x="26"/>
        <item x="18"/>
        <item x="50"/>
        <item x="13"/>
        <item x="54"/>
        <item x="4"/>
        <item x="60"/>
        <item x="128"/>
        <item x="167"/>
        <item x="75"/>
        <item x="104"/>
        <item x="115"/>
        <item x="170"/>
        <item x="111"/>
        <item x="42"/>
        <item x="98"/>
        <item x="66"/>
        <item x="124"/>
        <item x="91"/>
        <item x="151"/>
        <item x="77"/>
        <item x="141"/>
        <item x="164"/>
        <item x="109"/>
        <item x="3"/>
        <item x="12"/>
        <item x="161"/>
        <item x="49"/>
        <item x="140"/>
        <item x="69"/>
        <item x="100"/>
        <item x="52"/>
        <item x="63"/>
        <item x="78"/>
        <item x="137"/>
        <item x="1"/>
        <item x="92"/>
        <item x="112"/>
        <item x="153"/>
        <item x="168"/>
        <item x="159"/>
        <item x="15"/>
        <item x="57"/>
        <item x="82"/>
        <item x="150"/>
        <item x="113"/>
        <item x="125"/>
        <item x="84"/>
        <item x="46"/>
        <item x="152"/>
        <item x="163"/>
        <item x="44"/>
        <item x="7"/>
        <item x="14"/>
        <item x="145"/>
        <item x="171"/>
        <item x="31"/>
        <item x="114"/>
        <item x="61"/>
        <item x="154"/>
        <item x="48"/>
        <item x="45"/>
        <item x="33"/>
        <item x="27"/>
        <item x="93"/>
        <item x="94"/>
        <item x="172"/>
        <item x="21"/>
        <item x="47"/>
        <item x="107"/>
        <item x="40"/>
        <item x="144"/>
        <item x="8"/>
        <item x="123"/>
        <item x="156"/>
        <item x="20"/>
        <item x="74"/>
        <item x="120"/>
        <item x="35"/>
        <item x="30"/>
        <item t="default"/>
      </items>
    </pivotField>
    <pivotField showAll="0">
      <items count="9">
        <item x="4"/>
        <item x="7"/>
        <item x="1"/>
        <item x="5"/>
        <item x="0"/>
        <item x="3"/>
        <item x="2"/>
        <item x="6"/>
        <item t="default"/>
      </items>
    </pivotField>
    <pivotField showAll="0">
      <items count="7">
        <item h="1" x="5"/>
        <item x="1"/>
        <item h="1" x="4"/>
        <item h="1" x="0"/>
        <item h="1" x="2"/>
        <item h="1" x="3"/>
        <item t="default"/>
      </items>
    </pivotField>
    <pivotField axis="axisRow" showAll="0" sortType="descending">
      <items count="5">
        <item h="1" x="1"/>
        <item x="2"/>
        <item x="3"/>
        <item x="0"/>
        <item t="default"/>
      </items>
      <autoSortScope>
        <pivotArea dataOnly="0" outline="0" fieldPosition="0">
          <references count="1">
            <reference field="4294967294" count="1" selected="0">
              <x v="0"/>
            </reference>
          </references>
        </pivotArea>
      </autoSortScope>
    </pivotField>
    <pivotField showAll="0" sortType="descending">
      <items count="7">
        <item x="5"/>
        <item x="1"/>
        <item x="4"/>
        <item x="0"/>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3">
        <item h="1" x="0"/>
        <item x="1"/>
        <item t="default"/>
      </items>
    </pivotField>
    <pivotField showAll="0">
      <items count="3">
        <item x="0"/>
        <item h="1"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1"/>
    </i>
    <i>
      <x v="3"/>
    </i>
    <i>
      <x v="2"/>
    </i>
    <i t="grand">
      <x/>
    </i>
  </rowItems>
  <colItems count="1">
    <i/>
  </colItems>
  <dataFields count="1">
    <dataField name="Jumlah dari Quantity" fld="7" baseField="0" baseItem="0"/>
  </dataFields>
  <formats count="5">
    <format dxfId="30">
      <pivotArea type="all" dataOnly="0" outline="0" fieldPosition="0"/>
    </format>
    <format dxfId="29">
      <pivotArea outline="0" collapsedLevelsAreSubtotals="1" fieldPosition="0"/>
    </format>
    <format dxfId="28">
      <pivotArea field="3" type="button" dataOnly="0" labelOnly="1" outline="0"/>
    </format>
    <format dxfId="27">
      <pivotArea dataOnly="0" labelOnly="1" grandRow="1" outline="0" fieldPosition="0"/>
    </format>
    <format dxfId="26">
      <pivotArea dataOnly="0" labelOnly="1" outline="0" axis="axisValues" fieldPosition="0"/>
    </format>
  </formats>
  <chartFormats count="3">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8481DD-03F5-3540-BCE5-F520015F465F}" name="PivotTable6"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20">
  <location ref="T4:U8" firstHeaderRow="1" firstDataRow="1" firstDataCol="1"/>
  <pivotFields count="12">
    <pivotField showAll="0"/>
    <pivotField numFmtId="14" showAll="0">
      <items count="177">
        <item x="131"/>
        <item x="17"/>
        <item x="62"/>
        <item x="155"/>
        <item x="25"/>
        <item x="118"/>
        <item x="59"/>
        <item x="149"/>
        <item x="173"/>
        <item x="165"/>
        <item x="127"/>
        <item x="71"/>
        <item x="116"/>
        <item x="58"/>
        <item x="132"/>
        <item x="147"/>
        <item x="162"/>
        <item x="56"/>
        <item x="134"/>
        <item x="110"/>
        <item x="175"/>
        <item x="85"/>
        <item x="97"/>
        <item x="95"/>
        <item x="5"/>
        <item x="103"/>
        <item x="80"/>
        <item x="174"/>
        <item x="101"/>
        <item x="10"/>
        <item x="79"/>
        <item x="38"/>
        <item x="73"/>
        <item x="28"/>
        <item x="67"/>
        <item x="2"/>
        <item x="23"/>
        <item x="88"/>
        <item x="43"/>
        <item x="41"/>
        <item x="70"/>
        <item x="53"/>
        <item x="136"/>
        <item x="76"/>
        <item x="158"/>
        <item x="36"/>
        <item x="108"/>
        <item x="51"/>
        <item x="89"/>
        <item x="138"/>
        <item x="157"/>
        <item x="87"/>
        <item x="143"/>
        <item x="6"/>
        <item x="72"/>
        <item x="39"/>
        <item x="19"/>
        <item x="139"/>
        <item x="166"/>
        <item x="37"/>
        <item x="135"/>
        <item x="119"/>
        <item x="133"/>
        <item x="64"/>
        <item x="146"/>
        <item x="11"/>
        <item x="148"/>
        <item x="169"/>
        <item x="32"/>
        <item x="90"/>
        <item x="126"/>
        <item x="105"/>
        <item x="81"/>
        <item x="122"/>
        <item x="65"/>
        <item x="16"/>
        <item x="117"/>
        <item x="86"/>
        <item x="160"/>
        <item x="24"/>
        <item x="29"/>
        <item x="96"/>
        <item x="0"/>
        <item x="22"/>
        <item x="142"/>
        <item x="83"/>
        <item x="102"/>
        <item x="99"/>
        <item x="106"/>
        <item x="68"/>
        <item x="129"/>
        <item x="121"/>
        <item x="34"/>
        <item x="55"/>
        <item x="130"/>
        <item x="9"/>
        <item x="26"/>
        <item x="18"/>
        <item x="50"/>
        <item x="13"/>
        <item x="54"/>
        <item x="4"/>
        <item x="60"/>
        <item x="128"/>
        <item x="167"/>
        <item x="75"/>
        <item x="104"/>
        <item x="115"/>
        <item x="170"/>
        <item x="111"/>
        <item x="42"/>
        <item x="98"/>
        <item x="66"/>
        <item x="124"/>
        <item x="91"/>
        <item x="151"/>
        <item x="77"/>
        <item x="141"/>
        <item x="164"/>
        <item x="109"/>
        <item x="3"/>
        <item x="12"/>
        <item x="161"/>
        <item x="49"/>
        <item x="140"/>
        <item x="69"/>
        <item x="100"/>
        <item x="52"/>
        <item x="63"/>
        <item x="78"/>
        <item x="137"/>
        <item x="1"/>
        <item x="92"/>
        <item x="112"/>
        <item x="153"/>
        <item x="168"/>
        <item x="159"/>
        <item x="15"/>
        <item x="57"/>
        <item x="82"/>
        <item x="150"/>
        <item x="113"/>
        <item x="125"/>
        <item x="84"/>
        <item x="46"/>
        <item x="152"/>
        <item x="163"/>
        <item x="44"/>
        <item x="7"/>
        <item x="14"/>
        <item x="145"/>
        <item x="171"/>
        <item x="31"/>
        <item x="114"/>
        <item x="61"/>
        <item x="154"/>
        <item x="48"/>
        <item x="45"/>
        <item x="33"/>
        <item x="27"/>
        <item x="93"/>
        <item x="94"/>
        <item x="172"/>
        <item x="21"/>
        <item x="47"/>
        <item x="107"/>
        <item x="40"/>
        <item x="144"/>
        <item x="8"/>
        <item x="123"/>
        <item x="156"/>
        <item x="20"/>
        <item x="74"/>
        <item x="120"/>
        <item x="35"/>
        <item x="30"/>
        <item t="default"/>
      </items>
    </pivotField>
    <pivotField showAll="0">
      <items count="9">
        <item x="4"/>
        <item x="7"/>
        <item x="1"/>
        <item x="5"/>
        <item x="0"/>
        <item x="3"/>
        <item x="2"/>
        <item x="6"/>
        <item t="default"/>
      </items>
    </pivotField>
    <pivotField showAll="0">
      <items count="7">
        <item h="1" x="5"/>
        <item x="1"/>
        <item h="1" x="4"/>
        <item h="1" x="0"/>
        <item h="1" x="2"/>
        <item h="1" x="3"/>
        <item t="default"/>
      </items>
    </pivotField>
    <pivotField axis="axisRow" showAll="0" sortType="descending">
      <items count="5">
        <item h="1" x="1"/>
        <item x="2"/>
        <item x="3"/>
        <item x="0"/>
        <item t="default"/>
      </items>
      <autoSortScope>
        <pivotArea dataOnly="0" outline="0" fieldPosition="0">
          <references count="1">
            <reference field="4294967294" count="1" selected="0">
              <x v="0"/>
            </reference>
          </references>
        </pivotArea>
      </autoSortScope>
    </pivotField>
    <pivotField showAll="0" sortType="descending">
      <items count="7">
        <item x="5"/>
        <item x="1"/>
        <item x="4"/>
        <item x="0"/>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3">
        <item h="1" x="0"/>
        <item x="1"/>
        <item t="default"/>
      </items>
    </pivotField>
    <pivotField showAll="0">
      <items count="3">
        <item x="0"/>
        <item h="1"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1"/>
    </i>
    <i>
      <x v="3"/>
    </i>
    <i>
      <x v="2"/>
    </i>
    <i t="grand">
      <x/>
    </i>
  </rowItems>
  <colItems count="1">
    <i/>
  </colItems>
  <dataFields count="1">
    <dataField name="Jumlah dari Quantity" fld="7" baseField="0" baseItem="0"/>
  </dataFields>
  <formats count="5">
    <format dxfId="35">
      <pivotArea type="all" dataOnly="0" outline="0" fieldPosition="0"/>
    </format>
    <format dxfId="34">
      <pivotArea outline="0" collapsedLevelsAreSubtotals="1" fieldPosition="0"/>
    </format>
    <format dxfId="33">
      <pivotArea field="3" type="button" dataOnly="0" labelOnly="1" outline="0"/>
    </format>
    <format dxfId="32">
      <pivotArea dataOnly="0" labelOnly="1" grandRow="1" outline="0" fieldPosition="0"/>
    </format>
    <format dxfId="31">
      <pivotArea dataOnly="0" labelOnly="1" outline="0" axis="axisValues" fieldPosition="0"/>
    </format>
  </formats>
  <chartFormats count="3">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257310-4E91-2D40-9C48-6DCEBF72B74B}" name="PivotTable3"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18">
  <location ref="G3:H6" firstHeaderRow="1" firstDataRow="1" firstDataCol="1"/>
  <pivotFields count="12">
    <pivotField showAll="0"/>
    <pivotField numFmtId="14" showAll="0">
      <items count="177">
        <item x="131"/>
        <item x="17"/>
        <item x="62"/>
        <item x="155"/>
        <item x="25"/>
        <item x="118"/>
        <item x="59"/>
        <item x="149"/>
        <item x="173"/>
        <item x="165"/>
        <item x="127"/>
        <item x="71"/>
        <item x="116"/>
        <item x="58"/>
        <item x="132"/>
        <item x="147"/>
        <item x="162"/>
        <item x="56"/>
        <item x="134"/>
        <item x="110"/>
        <item x="175"/>
        <item x="85"/>
        <item x="97"/>
        <item x="95"/>
        <item x="5"/>
        <item x="103"/>
        <item x="80"/>
        <item x="174"/>
        <item x="101"/>
        <item x="10"/>
        <item x="79"/>
        <item x="38"/>
        <item x="73"/>
        <item x="28"/>
        <item x="67"/>
        <item x="2"/>
        <item x="23"/>
        <item x="88"/>
        <item x="43"/>
        <item x="41"/>
        <item x="70"/>
        <item x="53"/>
        <item x="136"/>
        <item x="76"/>
        <item x="158"/>
        <item x="36"/>
        <item x="108"/>
        <item x="51"/>
        <item x="89"/>
        <item x="138"/>
        <item x="157"/>
        <item x="87"/>
        <item x="143"/>
        <item x="6"/>
        <item x="72"/>
        <item x="39"/>
        <item x="19"/>
        <item x="139"/>
        <item x="166"/>
        <item x="37"/>
        <item x="135"/>
        <item x="119"/>
        <item x="133"/>
        <item x="64"/>
        <item x="146"/>
        <item x="11"/>
        <item x="148"/>
        <item x="169"/>
        <item x="32"/>
        <item x="90"/>
        <item x="126"/>
        <item x="105"/>
        <item x="81"/>
        <item x="122"/>
        <item x="65"/>
        <item x="16"/>
        <item x="117"/>
        <item x="86"/>
        <item x="160"/>
        <item x="24"/>
        <item x="29"/>
        <item x="96"/>
        <item x="0"/>
        <item x="22"/>
        <item x="142"/>
        <item x="83"/>
        <item x="102"/>
        <item x="99"/>
        <item x="106"/>
        <item x="68"/>
        <item x="129"/>
        <item x="121"/>
        <item x="34"/>
        <item x="55"/>
        <item x="130"/>
        <item x="9"/>
        <item x="26"/>
        <item x="18"/>
        <item x="50"/>
        <item x="13"/>
        <item x="54"/>
        <item x="4"/>
        <item x="60"/>
        <item x="128"/>
        <item x="167"/>
        <item x="75"/>
        <item x="104"/>
        <item x="115"/>
        <item x="170"/>
        <item x="111"/>
        <item x="42"/>
        <item x="98"/>
        <item x="66"/>
        <item x="124"/>
        <item x="91"/>
        <item x="151"/>
        <item x="77"/>
        <item x="141"/>
        <item x="164"/>
        <item x="109"/>
        <item x="3"/>
        <item x="12"/>
        <item x="161"/>
        <item x="49"/>
        <item x="140"/>
        <item x="69"/>
        <item x="100"/>
        <item x="52"/>
        <item x="63"/>
        <item x="78"/>
        <item x="137"/>
        <item x="1"/>
        <item x="92"/>
        <item x="112"/>
        <item x="153"/>
        <item x="168"/>
        <item x="159"/>
        <item x="15"/>
        <item x="57"/>
        <item x="82"/>
        <item x="150"/>
        <item x="113"/>
        <item x="125"/>
        <item x="84"/>
        <item x="46"/>
        <item x="152"/>
        <item x="163"/>
        <item x="44"/>
        <item x="7"/>
        <item x="14"/>
        <item x="145"/>
        <item x="171"/>
        <item x="31"/>
        <item x="114"/>
        <item x="61"/>
        <item x="154"/>
        <item x="48"/>
        <item x="45"/>
        <item x="33"/>
        <item x="27"/>
        <item x="93"/>
        <item x="94"/>
        <item x="172"/>
        <item x="21"/>
        <item x="47"/>
        <item x="107"/>
        <item x="40"/>
        <item x="144"/>
        <item x="8"/>
        <item x="123"/>
        <item x="156"/>
        <item x="20"/>
        <item x="74"/>
        <item x="120"/>
        <item x="35"/>
        <item x="30"/>
        <item t="default"/>
      </items>
    </pivotField>
    <pivotField axis="axisRow" showAll="0" sortType="descending">
      <items count="9">
        <item x="4"/>
        <item x="7"/>
        <item x="1"/>
        <item x="5"/>
        <item x="0"/>
        <item x="3"/>
        <item x="2"/>
        <item x="6"/>
        <item t="default"/>
      </items>
      <autoSortScope>
        <pivotArea dataOnly="0" outline="0" fieldPosition="0">
          <references count="1">
            <reference field="4294967294" count="1" selected="0">
              <x v="0"/>
            </reference>
          </references>
        </pivotArea>
      </autoSortScope>
    </pivotField>
    <pivotField showAll="0" sortType="descending">
      <items count="7">
        <item h="1" x="5"/>
        <item x="1"/>
        <item h="1" x="4"/>
        <item h="1" x="0"/>
        <item h="1" x="2"/>
        <item h="1" x="3"/>
        <item t="default"/>
      </items>
      <autoSortScope>
        <pivotArea dataOnly="0" outline="0" fieldPosition="0">
          <references count="1">
            <reference field="4294967294" count="1" selected="0">
              <x v="0"/>
            </reference>
          </references>
        </pivotArea>
      </autoSortScope>
    </pivotField>
    <pivotField showAll="0">
      <items count="5">
        <item h="1" x="1"/>
        <item x="2"/>
        <item x="3"/>
        <item x="0"/>
        <item t="default"/>
      </items>
    </pivotField>
    <pivotField showAll="0"/>
    <pivotField showAll="0"/>
    <pivotField dataField="1" showAll="0"/>
    <pivotField showAll="0">
      <items count="3">
        <item h="1" x="0"/>
        <item x="1"/>
        <item t="default"/>
      </items>
    </pivotField>
    <pivotField showAll="0">
      <items count="3">
        <item x="0"/>
        <item h="1"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v="6"/>
    </i>
    <i>
      <x v="2"/>
    </i>
    <i t="grand">
      <x/>
    </i>
  </rowItems>
  <colItems count="1">
    <i/>
  </colItems>
  <dataFields count="1">
    <dataField name="Jumlah dari Quantity" fld="7" baseField="0" baseItem="0"/>
  </dataFields>
  <formats count="5">
    <format dxfId="40">
      <pivotArea type="all" dataOnly="0" outline="0" fieldPosition="0"/>
    </format>
    <format dxfId="39">
      <pivotArea outline="0" collapsedLevelsAreSubtotals="1" fieldPosition="0"/>
    </format>
    <format dxfId="38">
      <pivotArea field="3" type="button" dataOnly="0" labelOnly="1" outline="0"/>
    </format>
    <format dxfId="37">
      <pivotArea dataOnly="0" labelOnly="1" grandRow="1" outline="0" fieldPosition="0"/>
    </format>
    <format dxfId="36">
      <pivotArea dataOnly="0" labelOnly="1" outline="0" axis="axisValues" fieldPosition="0"/>
    </format>
  </formats>
  <chartFormats count="8">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9D10DF-C40E-9542-947E-1A3492A598C4}" name="PivotTable4" cacheId="0"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20">
  <location ref="L3:M10" firstHeaderRow="1" firstDataRow="1" firstDataCol="1"/>
  <pivotFields count="12">
    <pivotField showAll="0"/>
    <pivotField numFmtId="14" showAll="0">
      <items count="177">
        <item x="131"/>
        <item x="17"/>
        <item x="62"/>
        <item x="155"/>
        <item x="25"/>
        <item x="118"/>
        <item x="59"/>
        <item x="149"/>
        <item x="173"/>
        <item x="165"/>
        <item x="127"/>
        <item x="71"/>
        <item x="116"/>
        <item x="58"/>
        <item x="132"/>
        <item x="147"/>
        <item x="162"/>
        <item x="56"/>
        <item x="134"/>
        <item x="110"/>
        <item x="175"/>
        <item x="85"/>
        <item x="97"/>
        <item x="95"/>
        <item x="5"/>
        <item x="103"/>
        <item x="80"/>
        <item x="174"/>
        <item x="101"/>
        <item x="10"/>
        <item x="79"/>
        <item x="38"/>
        <item x="73"/>
        <item x="28"/>
        <item x="67"/>
        <item x="2"/>
        <item x="23"/>
        <item x="88"/>
        <item x="43"/>
        <item x="41"/>
        <item x="70"/>
        <item x="53"/>
        <item x="136"/>
        <item x="76"/>
        <item x="158"/>
        <item x="36"/>
        <item x="108"/>
        <item x="51"/>
        <item x="89"/>
        <item x="138"/>
        <item x="157"/>
        <item x="87"/>
        <item x="143"/>
        <item x="6"/>
        <item x="72"/>
        <item x="39"/>
        <item x="19"/>
        <item x="139"/>
        <item x="166"/>
        <item x="37"/>
        <item x="135"/>
        <item x="119"/>
        <item x="133"/>
        <item x="64"/>
        <item x="146"/>
        <item x="11"/>
        <item x="148"/>
        <item x="169"/>
        <item x="32"/>
        <item x="90"/>
        <item x="126"/>
        <item x="105"/>
        <item x="81"/>
        <item x="122"/>
        <item x="65"/>
        <item x="16"/>
        <item x="117"/>
        <item x="86"/>
        <item x="160"/>
        <item x="24"/>
        <item x="29"/>
        <item x="96"/>
        <item x="0"/>
        <item x="22"/>
        <item x="142"/>
        <item x="83"/>
        <item x="102"/>
        <item x="99"/>
        <item x="106"/>
        <item x="68"/>
        <item x="129"/>
        <item x="121"/>
        <item x="34"/>
        <item x="55"/>
        <item x="130"/>
        <item x="9"/>
        <item x="26"/>
        <item x="18"/>
        <item x="50"/>
        <item x="13"/>
        <item x="54"/>
        <item x="4"/>
        <item x="60"/>
        <item x="128"/>
        <item x="167"/>
        <item x="75"/>
        <item x="104"/>
        <item x="115"/>
        <item x="170"/>
        <item x="111"/>
        <item x="42"/>
        <item x="98"/>
        <item x="66"/>
        <item x="124"/>
        <item x="91"/>
        <item x="151"/>
        <item x="77"/>
        <item x="141"/>
        <item x="164"/>
        <item x="109"/>
        <item x="3"/>
        <item x="12"/>
        <item x="161"/>
        <item x="49"/>
        <item x="140"/>
        <item x="69"/>
        <item x="100"/>
        <item x="52"/>
        <item x="63"/>
        <item x="78"/>
        <item x="137"/>
        <item x="1"/>
        <item x="92"/>
        <item x="112"/>
        <item x="153"/>
        <item x="168"/>
        <item x="159"/>
        <item x="15"/>
        <item x="57"/>
        <item x="82"/>
        <item x="150"/>
        <item x="113"/>
        <item x="125"/>
        <item x="84"/>
        <item x="46"/>
        <item x="152"/>
        <item x="163"/>
        <item x="44"/>
        <item x="7"/>
        <item x="14"/>
        <item x="145"/>
        <item x="171"/>
        <item x="31"/>
        <item x="114"/>
        <item x="61"/>
        <item x="154"/>
        <item x="48"/>
        <item x="45"/>
        <item x="33"/>
        <item x="27"/>
        <item x="93"/>
        <item x="94"/>
        <item x="172"/>
        <item x="21"/>
        <item x="47"/>
        <item x="107"/>
        <item x="40"/>
        <item x="144"/>
        <item x="8"/>
        <item x="123"/>
        <item x="156"/>
        <item x="20"/>
        <item x="74"/>
        <item x="120"/>
        <item x="35"/>
        <item x="30"/>
        <item t="default"/>
      </items>
    </pivotField>
    <pivotField showAll="0">
      <items count="9">
        <item x="4"/>
        <item x="7"/>
        <item x="1"/>
        <item x="5"/>
        <item x="0"/>
        <item x="3"/>
        <item x="2"/>
        <item x="6"/>
        <item t="default"/>
      </items>
    </pivotField>
    <pivotField showAll="0">
      <items count="7">
        <item h="1" x="5"/>
        <item x="1"/>
        <item h="1" x="4"/>
        <item h="1" x="0"/>
        <item h="1" x="2"/>
        <item h="1" x="3"/>
        <item t="default"/>
      </items>
    </pivotField>
    <pivotField showAll="0">
      <items count="5">
        <item h="1" x="1"/>
        <item x="2"/>
        <item x="3"/>
        <item x="0"/>
        <item t="default"/>
      </items>
    </pivotField>
    <pivotField axis="axisRow" showAll="0" sortType="descending">
      <items count="7">
        <item x="5"/>
        <item x="1"/>
        <item x="4"/>
        <item x="0"/>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3">
        <item h="1" x="0"/>
        <item x="1"/>
        <item t="default"/>
      </items>
    </pivotField>
    <pivotField showAll="0">
      <items count="3">
        <item x="0"/>
        <item h="1"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v="4"/>
    </i>
    <i>
      <x v="5"/>
    </i>
    <i>
      <x v="1"/>
    </i>
    <i>
      <x v="3"/>
    </i>
    <i>
      <x/>
    </i>
    <i>
      <x v="2"/>
    </i>
    <i t="grand">
      <x/>
    </i>
  </rowItems>
  <colItems count="1">
    <i/>
  </colItems>
  <dataFields count="1">
    <dataField name="Jumlah dari Quantity" fld="7" baseField="0" baseItem="0"/>
  </dataFields>
  <formats count="5">
    <format dxfId="45">
      <pivotArea type="all" dataOnly="0" outline="0" fieldPosition="0"/>
    </format>
    <format dxfId="44">
      <pivotArea outline="0" collapsedLevelsAreSubtotals="1" fieldPosition="0"/>
    </format>
    <format dxfId="43">
      <pivotArea field="3" type="button" dataOnly="0" labelOnly="1" outline="0"/>
    </format>
    <format dxfId="42">
      <pivotArea dataOnly="0" labelOnly="1" grandRow="1" outline="0" fieldPosition="0"/>
    </format>
    <format dxfId="41">
      <pivotArea dataOnly="0" labelOnly="1" outline="0" axis="axisValues" fieldPosition="0"/>
    </format>
  </formats>
  <chartFormats count="14">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5" count="1" selected="0">
            <x v="1"/>
          </reference>
        </references>
      </pivotArea>
    </chartFormat>
    <chartFormat chart="17" format="2">
      <pivotArea type="data" outline="0" fieldPosition="0">
        <references count="2">
          <reference field="4294967294" count="1" selected="0">
            <x v="0"/>
          </reference>
          <reference field="5" count="1" selected="0">
            <x v="2"/>
          </reference>
        </references>
      </pivotArea>
    </chartFormat>
    <chartFormat chart="17" format="3">
      <pivotArea type="data" outline="0" fieldPosition="0">
        <references count="2">
          <reference field="4294967294" count="1" selected="0">
            <x v="0"/>
          </reference>
          <reference field="5" count="1" selected="0">
            <x v="5"/>
          </reference>
        </references>
      </pivotArea>
    </chartFormat>
    <chartFormat chart="17" format="4">
      <pivotArea type="data" outline="0" fieldPosition="0">
        <references count="2">
          <reference field="4294967294" count="1" selected="0">
            <x v="0"/>
          </reference>
          <reference field="5" count="1" selected="0">
            <x v="0"/>
          </reference>
        </references>
      </pivotArea>
    </chartFormat>
    <chartFormat chart="17" format="5">
      <pivotArea type="data" outline="0" fieldPosition="0">
        <references count="2">
          <reference field="4294967294" count="1" selected="0">
            <x v="0"/>
          </reference>
          <reference field="5" count="1" selected="0">
            <x v="4"/>
          </reference>
        </references>
      </pivotArea>
    </chartFormat>
    <chartFormat chart="17" format="6">
      <pivotArea type="data" outline="0" fieldPosition="0">
        <references count="2">
          <reference field="4294967294" count="1" selected="0">
            <x v="0"/>
          </reference>
          <reference field="5" count="1" selected="0">
            <x v="3"/>
          </reference>
        </references>
      </pivotArea>
    </chartFormat>
    <chartFormat chart="19" format="14" series="1">
      <pivotArea type="data" outline="0" fieldPosition="0">
        <references count="1">
          <reference field="4294967294" count="1" selected="0">
            <x v="0"/>
          </reference>
        </references>
      </pivotArea>
    </chartFormat>
    <chartFormat chart="19" format="15">
      <pivotArea type="data" outline="0" fieldPosition="0">
        <references count="2">
          <reference field="4294967294" count="1" selected="0">
            <x v="0"/>
          </reference>
          <reference field="5" count="1" selected="0">
            <x v="1"/>
          </reference>
        </references>
      </pivotArea>
    </chartFormat>
    <chartFormat chart="19" format="16">
      <pivotArea type="data" outline="0" fieldPosition="0">
        <references count="2">
          <reference field="4294967294" count="1" selected="0">
            <x v="0"/>
          </reference>
          <reference field="5" count="1" selected="0">
            <x v="2"/>
          </reference>
        </references>
      </pivotArea>
    </chartFormat>
    <chartFormat chart="19" format="17">
      <pivotArea type="data" outline="0" fieldPosition="0">
        <references count="2">
          <reference field="4294967294" count="1" selected="0">
            <x v="0"/>
          </reference>
          <reference field="5" count="1" selected="0">
            <x v="5"/>
          </reference>
        </references>
      </pivotArea>
    </chartFormat>
    <chartFormat chart="19" format="18">
      <pivotArea type="data" outline="0" fieldPosition="0">
        <references count="2">
          <reference field="4294967294" count="1" selected="0">
            <x v="0"/>
          </reference>
          <reference field="5" count="1" selected="0">
            <x v="0"/>
          </reference>
        </references>
      </pivotArea>
    </chartFormat>
    <chartFormat chart="19" format="19">
      <pivotArea type="data" outline="0" fieldPosition="0">
        <references count="2">
          <reference field="4294967294" count="1" selected="0">
            <x v="0"/>
          </reference>
          <reference field="5" count="1" selected="0">
            <x v="4"/>
          </reference>
        </references>
      </pivotArea>
    </chartFormat>
    <chartFormat chart="19" format="2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5809"/>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Category" xr10:uid="{81B50DE3-197F-2F40-ACFB-4FC4738936C1}" sourceName="Category">
  <pivotTables>
    <pivotTable tabId="3" name="PivotTable4"/>
    <pivotTable tabId="3" name="PivotTable1"/>
    <pivotTable tabId="3" name="PivotTable2"/>
    <pivotTable tabId="3" name="PivotTable3"/>
    <pivotTable tabId="3" name="PivotTable5"/>
    <pivotTable tabId="3" name="PivotTable6"/>
  </pivotTables>
  <data>
    <tabular pivotCacheId="805215963">
      <items count="6">
        <i x="5"/>
        <i x="1" s="1"/>
        <i x="4"/>
        <i x="0"/>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ize" xr10:uid="{50F188DD-CDD9-7F49-B65E-F91801B081DB}" sourceName="Size">
  <pivotTables>
    <pivotTable tabId="3" name="PivotTable4"/>
    <pivotTable tabId="3" name="PivotTable1"/>
    <pivotTable tabId="3" name="PivotTable2"/>
    <pivotTable tabId="3" name="PivotTable3"/>
    <pivotTable tabId="3" name="PivotTable5"/>
    <pivotTable tabId="3" name="PivotTable6"/>
  </pivotTables>
  <data>
    <tabular pivotCacheId="805215963">
      <items count="4">
        <i x="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ales_Channel" xr10:uid="{61BB6733-D45B-A149-8B2B-C84AD185E254}" sourceName="Sales_Channel">
  <pivotTables>
    <pivotTable tabId="3" name="PivotTable4"/>
    <pivotTable tabId="3" name="PivotTable1"/>
    <pivotTable tabId="3" name="PivotTable2"/>
    <pivotTable tabId="3" name="PivotTable3"/>
    <pivotTable tabId="3" name="PivotTable5"/>
    <pivotTable tabId="3" name="PivotTable6"/>
  </pivotTables>
  <data>
    <tabular pivotCacheId="805215963">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Customer_Type" xr10:uid="{2697D26C-B2A4-4C40-B58F-49322B1C3CE1}" sourceName="Customer_Type">
  <pivotTables>
    <pivotTable tabId="3" name="PivotTable4"/>
    <pivotTable tabId="3" name="PivotTable1"/>
    <pivotTable tabId="3" name="PivotTable2"/>
    <pivotTable tabId="3" name="PivotTable3"/>
    <pivotTable tabId="3" name="PivotTable5"/>
    <pivotTable tabId="3" name="PivotTable6"/>
  </pivotTables>
  <data>
    <tabular pivotCacheId="805215963">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517749C-B3D4-BC4C-80C1-2AFDF60B2F52}" cache="Pemotong_Category" caption="Category" rowHeight="251883"/>
  <slicer name="Size" xr10:uid="{E1FECD42-B0B9-CB4E-BA03-952B1AC5060C}" cache="Pemotong_Size" caption="Size" rowHeight="251883"/>
  <slicer name="Sales_Channel" xr10:uid="{71C39A43-7D38-834C-865F-2A70E722D826}" cache="Pemotong_Sales_Channel" caption="Sales_Channel" rowHeight="251883"/>
  <slicer name="Customer_Type" xr10:uid="{03E3F9F8-A5A8-384B-BCA4-01735566719D}" cache="Pemotong_Customer_Type" caption="Customer_Typ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08E5B22-A289-4343-BC9F-6DAF33DB61F1}" cache="Pemotong_Category" caption="Category" rowHeight="251883"/>
  <slicer name="Size 1" xr10:uid="{25F2A2CA-03C6-A542-A081-C5A850712002}" cache="Pemotong_Size" caption="Size" rowHeight="251883"/>
  <slicer name="Sales_Channel 1" xr10:uid="{88F908DF-3B61-FF4E-80D7-52DC9D8EDD51}" cache="Pemotong_Sales_Channel" caption="Sales_Channel" rowHeight="251883"/>
  <slicer name="Customer_Type 1" xr10:uid="{838CAF0E-F093-034D-8657-980877EE384F}" cache="Pemotong_Customer_Type" caption="Customer_Typ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8DC83F-DF33-6F4F-846D-FA77276F311B}" name="Tabel3" displayName="Tabel3" ref="A1:K704" totalsRowShown="0" headerRowDxfId="13" dataDxfId="11" headerRowBorderDxfId="12" tableBorderDxfId="10">
  <autoFilter ref="A1:K704" xr:uid="{188DC83F-DF33-6F4F-846D-FA77276F311B}"/>
  <tableColumns count="11">
    <tableColumn id="1" xr3:uid="{71DCE8BB-3BB2-7144-82AA-2DDAB5A4E8A0}" name="Order_ID" dataDxfId="9"/>
    <tableColumn id="2" xr3:uid="{C28264D0-83D3-114B-AA81-09DBD7DA2286}" name="Date" dataDxfId="8"/>
    <tableColumn id="3" xr3:uid="{9D60BBFA-6359-B540-A971-72C9399AA723}" name="Product_Name" dataDxfId="7"/>
    <tableColumn id="4" xr3:uid="{6DC2A10E-E101-5944-B7A4-AFC8C4BAEFB3}" name="Category" dataDxfId="6"/>
    <tableColumn id="5" xr3:uid="{3FA9E00B-3462-3B4B-9FFF-3EFEFAE8A780}" name="Size" dataDxfId="5"/>
    <tableColumn id="6" xr3:uid="{25115545-82D8-D147-AA92-E11FF82C1AEA}" name="Color" dataDxfId="4"/>
    <tableColumn id="7" xr3:uid="{429F5B76-5D49-EC4D-9C9F-FF608BC0CA24}" name="Price"/>
    <tableColumn id="8" xr3:uid="{88669BEF-5914-864C-877C-AB2B4CC8A8B8}" name="Quantity" dataDxfId="3"/>
    <tableColumn id="9" xr3:uid="{B4227194-B80F-EC40-A884-EE192FB47306}" name="Sales_Channel" dataDxfId="2"/>
    <tableColumn id="10" xr3:uid="{4665BCF1-91A6-B34A-B54D-C185A1FDD5F1}" name="Customer_Type" dataDxfId="1"/>
    <tableColumn id="11" xr3:uid="{73BAA2B9-38CD-8C42-93C3-6061C4DB1A6E}" name="Total_Sales" dataDxfId="0"/>
  </tableColumns>
  <tableStyleInfo name="TableStyleMedium2" showFirstColumn="0" showLastColumn="0" showRowStripes="1" showColumnStripes="0"/>
</table>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F0C6-8039-3B47-8760-F70D24998EBA}">
  <dimension ref="A1:Q704"/>
  <sheetViews>
    <sheetView workbookViewId="0">
      <selection sqref="A1:A1048576"/>
    </sheetView>
  </sheetViews>
  <sheetFormatPr baseColWidth="10" defaultRowHeight="16" x14ac:dyDescent="0.2"/>
  <cols>
    <col min="1" max="1" width="13.83203125" style="2" customWidth="1"/>
    <col min="2" max="2" width="18.83203125" style="3" customWidth="1"/>
    <col min="3" max="3" width="28.5" style="10" customWidth="1"/>
    <col min="4" max="4" width="15.5" style="10" customWidth="1"/>
    <col min="5" max="5" width="8.83203125" customWidth="1"/>
    <col min="6" max="6" width="21.6640625" style="1" customWidth="1"/>
    <col min="7" max="7" width="12.83203125" customWidth="1"/>
    <col min="8" max="8" width="10.83203125" style="1"/>
    <col min="9" max="9" width="15" style="1" customWidth="1"/>
    <col min="10" max="10" width="16.83203125" style="1" customWidth="1"/>
    <col min="11" max="11" width="16.5" customWidth="1"/>
    <col min="13" max="13" width="14.33203125" customWidth="1"/>
    <col min="15" max="15" width="16.6640625" customWidth="1"/>
    <col min="16" max="16" width="12.83203125" customWidth="1"/>
  </cols>
  <sheetData>
    <row r="1" spans="1:17" x14ac:dyDescent="0.2">
      <c r="A1" s="4" t="s">
        <v>0</v>
      </c>
      <c r="B1" s="5" t="s">
        <v>1</v>
      </c>
      <c r="C1" s="6" t="s">
        <v>2</v>
      </c>
      <c r="D1" s="9" t="s">
        <v>3</v>
      </c>
      <c r="E1" s="6" t="s">
        <v>4</v>
      </c>
      <c r="F1" s="6" t="s">
        <v>5</v>
      </c>
      <c r="G1" s="6" t="s">
        <v>6</v>
      </c>
      <c r="H1" s="6" t="s">
        <v>7</v>
      </c>
      <c r="I1" s="6" t="s">
        <v>8</v>
      </c>
      <c r="J1" s="6" t="s">
        <v>9</v>
      </c>
      <c r="K1" s="6" t="s">
        <v>10</v>
      </c>
      <c r="M1" s="7" t="s">
        <v>2</v>
      </c>
      <c r="N1" s="7" t="s">
        <v>3</v>
      </c>
      <c r="O1" s="7" t="s">
        <v>6</v>
      </c>
      <c r="P1" s="7"/>
      <c r="Q1" s="7"/>
    </row>
    <row r="2" spans="1:17" x14ac:dyDescent="0.2">
      <c r="A2" s="2" t="s">
        <v>25</v>
      </c>
      <c r="B2" s="3">
        <v>45743</v>
      </c>
      <c r="C2" s="10" t="s">
        <v>11</v>
      </c>
      <c r="D2" s="10" t="s">
        <v>12</v>
      </c>
      <c r="E2" s="1" t="s">
        <v>26</v>
      </c>
      <c r="F2" s="1" t="s">
        <v>27</v>
      </c>
      <c r="G2">
        <v>350000</v>
      </c>
      <c r="H2" s="1">
        <v>3</v>
      </c>
      <c r="I2" s="1" t="s">
        <v>28</v>
      </c>
      <c r="J2" s="1" t="s">
        <v>29</v>
      </c>
      <c r="K2">
        <v>1050000</v>
      </c>
      <c r="M2" s="8" t="s">
        <v>11</v>
      </c>
      <c r="N2" s="8" t="s">
        <v>12</v>
      </c>
      <c r="O2" s="8">
        <v>350000</v>
      </c>
      <c r="P2" s="8"/>
      <c r="Q2" s="8"/>
    </row>
    <row r="3" spans="1:17" x14ac:dyDescent="0.2">
      <c r="A3" s="2" t="s">
        <v>30</v>
      </c>
      <c r="B3" s="3">
        <v>45794</v>
      </c>
      <c r="C3" s="10" t="s">
        <v>15</v>
      </c>
      <c r="D3" s="10" t="s">
        <v>16</v>
      </c>
      <c r="E3" s="1" t="s">
        <v>31</v>
      </c>
      <c r="F3" s="1" t="s">
        <v>32</v>
      </c>
      <c r="G3">
        <v>225000</v>
      </c>
      <c r="H3" s="1">
        <v>2</v>
      </c>
      <c r="I3" s="1" t="s">
        <v>28</v>
      </c>
      <c r="J3" s="1" t="s">
        <v>29</v>
      </c>
      <c r="K3">
        <v>450000</v>
      </c>
      <c r="M3" s="8" t="s">
        <v>13</v>
      </c>
      <c r="N3" s="8" t="s">
        <v>14</v>
      </c>
      <c r="O3" s="8">
        <v>275000</v>
      </c>
      <c r="P3" s="8"/>
      <c r="Q3" s="8"/>
    </row>
    <row r="4" spans="1:17" x14ac:dyDescent="0.2">
      <c r="A4" s="2" t="s">
        <v>33</v>
      </c>
      <c r="B4" s="3">
        <v>45693</v>
      </c>
      <c r="C4" s="10" t="s">
        <v>24</v>
      </c>
      <c r="D4" s="10" t="s">
        <v>16</v>
      </c>
      <c r="E4" s="1" t="s">
        <v>26</v>
      </c>
      <c r="F4" s="1" t="s">
        <v>34</v>
      </c>
      <c r="G4">
        <v>240000</v>
      </c>
      <c r="H4" s="1">
        <v>1</v>
      </c>
      <c r="I4" s="1" t="s">
        <v>28</v>
      </c>
      <c r="J4" s="1" t="s">
        <v>29</v>
      </c>
      <c r="K4">
        <v>240000</v>
      </c>
      <c r="M4" s="8" t="s">
        <v>15</v>
      </c>
      <c r="N4" s="8" t="s">
        <v>16</v>
      </c>
      <c r="O4" s="8">
        <v>225000</v>
      </c>
      <c r="P4" s="8"/>
      <c r="Q4" s="8"/>
    </row>
    <row r="5" spans="1:17" x14ac:dyDescent="0.2">
      <c r="A5" s="2" t="s">
        <v>35</v>
      </c>
      <c r="B5" s="3">
        <v>45783</v>
      </c>
      <c r="C5" s="10" t="s">
        <v>17</v>
      </c>
      <c r="D5" s="10" t="s">
        <v>18</v>
      </c>
      <c r="E5" s="1" t="s">
        <v>36</v>
      </c>
      <c r="F5" s="1" t="s">
        <v>32</v>
      </c>
      <c r="G5">
        <v>300000</v>
      </c>
      <c r="H5" s="1">
        <v>3</v>
      </c>
      <c r="I5" s="1" t="s">
        <v>28</v>
      </c>
      <c r="J5" s="1" t="s">
        <v>37</v>
      </c>
      <c r="K5">
        <v>900000</v>
      </c>
      <c r="M5" s="8" t="s">
        <v>17</v>
      </c>
      <c r="N5" s="8" t="s">
        <v>18</v>
      </c>
      <c r="O5" s="8">
        <v>300000</v>
      </c>
      <c r="P5" s="8"/>
      <c r="Q5" s="8"/>
    </row>
    <row r="6" spans="1:17" x14ac:dyDescent="0.2">
      <c r="A6" s="2" t="s">
        <v>38</v>
      </c>
      <c r="B6" s="3">
        <v>45763</v>
      </c>
      <c r="C6" s="10" t="s">
        <v>13</v>
      </c>
      <c r="D6" s="10" t="s">
        <v>14</v>
      </c>
      <c r="E6" s="1" t="s">
        <v>31</v>
      </c>
      <c r="F6" s="1" t="s">
        <v>27</v>
      </c>
      <c r="G6">
        <v>275000</v>
      </c>
      <c r="H6" s="1">
        <v>1</v>
      </c>
      <c r="I6" s="1" t="s">
        <v>39</v>
      </c>
      <c r="J6" s="1" t="s">
        <v>29</v>
      </c>
      <c r="K6">
        <v>275000</v>
      </c>
      <c r="M6" s="8" t="s">
        <v>19</v>
      </c>
      <c r="N6" s="8" t="s">
        <v>20</v>
      </c>
      <c r="O6" s="8">
        <v>250000</v>
      </c>
      <c r="P6" s="8"/>
      <c r="Q6" s="8"/>
    </row>
    <row r="7" spans="1:17" x14ac:dyDescent="0.2">
      <c r="A7" s="2" t="s">
        <v>40</v>
      </c>
      <c r="B7" s="3">
        <v>45682</v>
      </c>
      <c r="C7" s="10" t="s">
        <v>17</v>
      </c>
      <c r="D7" s="10" t="s">
        <v>18</v>
      </c>
      <c r="E7" s="1" t="s">
        <v>36</v>
      </c>
      <c r="F7" s="1" t="s">
        <v>41</v>
      </c>
      <c r="G7">
        <v>300000</v>
      </c>
      <c r="H7" s="1">
        <v>2</v>
      </c>
      <c r="I7" s="1" t="s">
        <v>39</v>
      </c>
      <c r="J7" s="1" t="s">
        <v>37</v>
      </c>
      <c r="K7">
        <v>600000</v>
      </c>
      <c r="M7" s="8" t="s">
        <v>21</v>
      </c>
      <c r="N7" s="8" t="s">
        <v>22</v>
      </c>
      <c r="O7" s="8">
        <v>75000</v>
      </c>
      <c r="P7" s="8"/>
      <c r="Q7" s="8"/>
    </row>
    <row r="8" spans="1:17" x14ac:dyDescent="0.2">
      <c r="A8" s="2" t="s">
        <v>42</v>
      </c>
      <c r="B8" s="3">
        <v>45712</v>
      </c>
      <c r="C8" s="10" t="s">
        <v>23</v>
      </c>
      <c r="D8" s="10" t="s">
        <v>12</v>
      </c>
      <c r="E8" s="1" t="s">
        <v>26</v>
      </c>
      <c r="F8" s="1" t="s">
        <v>32</v>
      </c>
      <c r="G8">
        <v>375000</v>
      </c>
      <c r="H8" s="1">
        <v>1</v>
      </c>
      <c r="I8" s="1" t="s">
        <v>28</v>
      </c>
      <c r="J8" s="1" t="s">
        <v>29</v>
      </c>
      <c r="K8">
        <v>375000</v>
      </c>
      <c r="M8" s="8" t="s">
        <v>23</v>
      </c>
      <c r="N8" s="8" t="s">
        <v>12</v>
      </c>
      <c r="O8" s="8">
        <v>375000</v>
      </c>
      <c r="P8" s="8"/>
      <c r="Q8" s="8"/>
    </row>
    <row r="9" spans="1:17" x14ac:dyDescent="0.2">
      <c r="A9" s="2" t="s">
        <v>43</v>
      </c>
      <c r="B9" s="3">
        <v>45811</v>
      </c>
      <c r="C9" s="10" t="s">
        <v>15</v>
      </c>
      <c r="D9" s="10" t="s">
        <v>16</v>
      </c>
      <c r="E9" s="1" t="s">
        <v>31</v>
      </c>
      <c r="F9" s="1" t="s">
        <v>34</v>
      </c>
      <c r="G9">
        <v>225000</v>
      </c>
      <c r="H9" s="1">
        <v>3</v>
      </c>
      <c r="I9" s="1" t="s">
        <v>39</v>
      </c>
      <c r="J9" s="1" t="s">
        <v>37</v>
      </c>
      <c r="K9">
        <v>675000</v>
      </c>
      <c r="M9" s="8" t="s">
        <v>24</v>
      </c>
      <c r="N9" s="8" t="s">
        <v>16</v>
      </c>
      <c r="O9" s="8">
        <v>240000</v>
      </c>
      <c r="P9" s="8"/>
      <c r="Q9" s="8"/>
    </row>
    <row r="10" spans="1:17" x14ac:dyDescent="0.2">
      <c r="A10" s="2" t="s">
        <v>44</v>
      </c>
      <c r="B10" s="3">
        <v>45831</v>
      </c>
      <c r="C10" s="10" t="s">
        <v>24</v>
      </c>
      <c r="D10" s="10" t="s">
        <v>16</v>
      </c>
      <c r="E10" s="1" t="s">
        <v>26</v>
      </c>
      <c r="F10" s="1" t="s">
        <v>45</v>
      </c>
      <c r="G10">
        <v>240000</v>
      </c>
      <c r="H10" s="1">
        <v>2</v>
      </c>
      <c r="I10" s="1" t="s">
        <v>39</v>
      </c>
      <c r="J10" s="1" t="s">
        <v>37</v>
      </c>
      <c r="K10">
        <v>480000</v>
      </c>
    </row>
    <row r="11" spans="1:17" x14ac:dyDescent="0.2">
      <c r="A11" s="2" t="s">
        <v>46</v>
      </c>
      <c r="B11" s="3">
        <v>45757</v>
      </c>
      <c r="C11" s="10" t="s">
        <v>23</v>
      </c>
      <c r="D11" s="10" t="s">
        <v>12</v>
      </c>
      <c r="E11" s="1" t="s">
        <v>47</v>
      </c>
      <c r="F11" s="1" t="s">
        <v>41</v>
      </c>
      <c r="G11">
        <v>375000</v>
      </c>
      <c r="H11" s="1">
        <v>1</v>
      </c>
      <c r="I11" s="1" t="s">
        <v>39</v>
      </c>
      <c r="J11" s="1" t="s">
        <v>37</v>
      </c>
      <c r="K11">
        <v>375000</v>
      </c>
    </row>
    <row r="12" spans="1:17" x14ac:dyDescent="0.2">
      <c r="A12" s="2" t="s">
        <v>48</v>
      </c>
      <c r="B12" s="3">
        <v>45687</v>
      </c>
      <c r="C12" s="10" t="s">
        <v>24</v>
      </c>
      <c r="D12" s="10" t="s">
        <v>16</v>
      </c>
      <c r="E12" s="1" t="s">
        <v>47</v>
      </c>
      <c r="F12" s="1" t="s">
        <v>27</v>
      </c>
      <c r="G12">
        <v>240000</v>
      </c>
      <c r="H12" s="1">
        <v>2</v>
      </c>
      <c r="I12" s="1" t="s">
        <v>28</v>
      </c>
      <c r="J12" s="1" t="s">
        <v>37</v>
      </c>
      <c r="K12">
        <v>480000</v>
      </c>
    </row>
    <row r="13" spans="1:17" x14ac:dyDescent="0.2">
      <c r="A13" s="2" t="s">
        <v>49</v>
      </c>
      <c r="B13" s="3">
        <v>45724</v>
      </c>
      <c r="C13" s="10" t="s">
        <v>17</v>
      </c>
      <c r="D13" s="10" t="s">
        <v>18</v>
      </c>
      <c r="E13" s="1" t="s">
        <v>47</v>
      </c>
      <c r="F13" s="1" t="s">
        <v>45</v>
      </c>
      <c r="G13">
        <v>300000</v>
      </c>
      <c r="H13" s="1">
        <v>2</v>
      </c>
      <c r="I13" s="1" t="s">
        <v>28</v>
      </c>
      <c r="J13" s="1" t="s">
        <v>37</v>
      </c>
      <c r="K13">
        <v>600000</v>
      </c>
    </row>
    <row r="14" spans="1:17" x14ac:dyDescent="0.2">
      <c r="A14" s="2" t="s">
        <v>50</v>
      </c>
      <c r="B14" s="3">
        <v>45784</v>
      </c>
      <c r="C14" s="10" t="s">
        <v>13</v>
      </c>
      <c r="D14" s="10" t="s">
        <v>14</v>
      </c>
      <c r="E14" s="1" t="s">
        <v>26</v>
      </c>
      <c r="F14" s="1" t="s">
        <v>27</v>
      </c>
      <c r="G14">
        <v>275000</v>
      </c>
      <c r="H14" s="1">
        <v>2</v>
      </c>
      <c r="I14" s="1" t="s">
        <v>39</v>
      </c>
      <c r="J14" s="1" t="s">
        <v>29</v>
      </c>
      <c r="K14">
        <v>550000</v>
      </c>
    </row>
    <row r="15" spans="1:17" x14ac:dyDescent="0.2">
      <c r="A15" s="2" t="s">
        <v>51</v>
      </c>
      <c r="B15" s="3">
        <v>45761</v>
      </c>
      <c r="C15" s="10" t="s">
        <v>17</v>
      </c>
      <c r="D15" s="10" t="s">
        <v>18</v>
      </c>
      <c r="E15" s="1" t="s">
        <v>26</v>
      </c>
      <c r="F15" s="1" t="s">
        <v>45</v>
      </c>
      <c r="G15">
        <v>300000</v>
      </c>
      <c r="H15" s="1">
        <v>1</v>
      </c>
      <c r="I15" s="1" t="s">
        <v>28</v>
      </c>
      <c r="J15" s="1" t="s">
        <v>29</v>
      </c>
      <c r="K15">
        <v>300000</v>
      </c>
    </row>
    <row r="16" spans="1:17" x14ac:dyDescent="0.2">
      <c r="A16" s="2" t="s">
        <v>52</v>
      </c>
      <c r="B16" s="3">
        <v>45812</v>
      </c>
      <c r="C16" s="10" t="s">
        <v>19</v>
      </c>
      <c r="D16" s="10" t="s">
        <v>20</v>
      </c>
      <c r="E16" s="1" t="s">
        <v>31</v>
      </c>
      <c r="F16" s="1" t="s">
        <v>41</v>
      </c>
      <c r="G16">
        <v>250000</v>
      </c>
      <c r="H16" s="1">
        <v>3</v>
      </c>
      <c r="I16" s="1" t="s">
        <v>39</v>
      </c>
      <c r="J16" s="1" t="s">
        <v>37</v>
      </c>
      <c r="K16">
        <v>750000</v>
      </c>
    </row>
    <row r="17" spans="1:11" x14ac:dyDescent="0.2">
      <c r="A17" s="2" t="s">
        <v>53</v>
      </c>
      <c r="B17" s="3">
        <v>45800</v>
      </c>
      <c r="C17" s="10" t="s">
        <v>17</v>
      </c>
      <c r="D17" s="10" t="s">
        <v>18</v>
      </c>
      <c r="E17" s="1" t="s">
        <v>36</v>
      </c>
      <c r="F17" s="1" t="s">
        <v>27</v>
      </c>
      <c r="G17">
        <v>300000</v>
      </c>
      <c r="H17" s="1">
        <v>3</v>
      </c>
      <c r="I17" s="1" t="s">
        <v>39</v>
      </c>
      <c r="J17" s="1" t="s">
        <v>37</v>
      </c>
      <c r="K17">
        <v>900000</v>
      </c>
    </row>
    <row r="18" spans="1:11" x14ac:dyDescent="0.2">
      <c r="A18" s="2" t="s">
        <v>54</v>
      </c>
      <c r="B18" s="3">
        <v>45735</v>
      </c>
      <c r="C18" s="10" t="s">
        <v>24</v>
      </c>
      <c r="D18" s="10" t="s">
        <v>16</v>
      </c>
      <c r="E18" s="1" t="s">
        <v>26</v>
      </c>
      <c r="F18" s="1" t="s">
        <v>32</v>
      </c>
      <c r="G18">
        <v>240000</v>
      </c>
      <c r="H18" s="1">
        <v>3</v>
      </c>
      <c r="I18" s="1" t="s">
        <v>39</v>
      </c>
      <c r="J18" s="1" t="s">
        <v>37</v>
      </c>
      <c r="K18">
        <v>720000</v>
      </c>
    </row>
    <row r="19" spans="1:11" x14ac:dyDescent="0.2">
      <c r="A19" s="2" t="s">
        <v>55</v>
      </c>
      <c r="B19" s="3">
        <v>45659</v>
      </c>
      <c r="C19" s="10" t="s">
        <v>13</v>
      </c>
      <c r="D19" s="10" t="s">
        <v>14</v>
      </c>
      <c r="E19" s="1" t="s">
        <v>47</v>
      </c>
      <c r="F19" s="1" t="s">
        <v>41</v>
      </c>
      <c r="G19">
        <v>275000</v>
      </c>
      <c r="H19" s="1">
        <v>2</v>
      </c>
      <c r="I19" s="1" t="s">
        <v>28</v>
      </c>
      <c r="J19" s="1" t="s">
        <v>37</v>
      </c>
      <c r="K19">
        <v>550000</v>
      </c>
    </row>
    <row r="20" spans="1:11" x14ac:dyDescent="0.2">
      <c r="A20" s="2" t="s">
        <v>56</v>
      </c>
      <c r="B20" s="3">
        <v>45759</v>
      </c>
      <c r="C20" s="10" t="s">
        <v>21</v>
      </c>
      <c r="D20" s="10" t="s">
        <v>22</v>
      </c>
      <c r="E20" s="1" t="s">
        <v>31</v>
      </c>
      <c r="F20" s="1" t="s">
        <v>27</v>
      </c>
      <c r="G20">
        <v>75000</v>
      </c>
      <c r="H20" s="1">
        <v>3</v>
      </c>
      <c r="I20" s="1" t="s">
        <v>28</v>
      </c>
      <c r="J20" s="1" t="s">
        <v>29</v>
      </c>
      <c r="K20">
        <v>225000</v>
      </c>
    </row>
    <row r="21" spans="1:11" x14ac:dyDescent="0.2">
      <c r="A21" s="2" t="s">
        <v>57</v>
      </c>
      <c r="B21" s="3">
        <v>45715</v>
      </c>
      <c r="C21" s="10" t="s">
        <v>19</v>
      </c>
      <c r="D21" s="10" t="s">
        <v>20</v>
      </c>
      <c r="E21" s="1" t="s">
        <v>31</v>
      </c>
      <c r="F21" s="1" t="s">
        <v>34</v>
      </c>
      <c r="G21">
        <v>250000</v>
      </c>
      <c r="H21" s="1">
        <v>1</v>
      </c>
      <c r="I21" s="1" t="s">
        <v>39</v>
      </c>
      <c r="J21" s="1" t="s">
        <v>29</v>
      </c>
      <c r="K21">
        <v>250000</v>
      </c>
    </row>
    <row r="22" spans="1:11" x14ac:dyDescent="0.2">
      <c r="A22" s="2" t="s">
        <v>58</v>
      </c>
      <c r="B22" s="3">
        <v>45834</v>
      </c>
      <c r="C22" s="10" t="s">
        <v>19</v>
      </c>
      <c r="D22" s="10" t="s">
        <v>20</v>
      </c>
      <c r="E22" s="1" t="s">
        <v>31</v>
      </c>
      <c r="F22" s="1" t="s">
        <v>32</v>
      </c>
      <c r="G22">
        <v>250000</v>
      </c>
      <c r="H22" s="1">
        <v>2</v>
      </c>
      <c r="I22" s="1" t="s">
        <v>39</v>
      </c>
      <c r="J22" s="1" t="s">
        <v>29</v>
      </c>
      <c r="K22">
        <v>500000</v>
      </c>
    </row>
    <row r="23" spans="1:11" x14ac:dyDescent="0.2">
      <c r="A23" s="2" t="s">
        <v>59</v>
      </c>
      <c r="B23" s="3">
        <v>45826</v>
      </c>
      <c r="C23" s="10" t="s">
        <v>24</v>
      </c>
      <c r="D23" s="10" t="s">
        <v>16</v>
      </c>
      <c r="E23" s="1" t="s">
        <v>26</v>
      </c>
      <c r="F23" s="1" t="s">
        <v>60</v>
      </c>
      <c r="G23">
        <v>240000</v>
      </c>
      <c r="H23" s="1">
        <v>2</v>
      </c>
      <c r="I23" s="1" t="s">
        <v>28</v>
      </c>
      <c r="J23" s="1" t="s">
        <v>37</v>
      </c>
      <c r="K23">
        <v>480000</v>
      </c>
    </row>
    <row r="24" spans="1:11" x14ac:dyDescent="0.2">
      <c r="A24" s="2" t="s">
        <v>61</v>
      </c>
      <c r="B24" s="3">
        <v>45744</v>
      </c>
      <c r="C24" s="10" t="s">
        <v>15</v>
      </c>
      <c r="D24" s="10" t="s">
        <v>16</v>
      </c>
      <c r="E24" s="1" t="s">
        <v>26</v>
      </c>
      <c r="F24" s="1" t="s">
        <v>27</v>
      </c>
      <c r="G24">
        <v>225000</v>
      </c>
      <c r="H24" s="1">
        <v>3</v>
      </c>
      <c r="I24" s="1" t="s">
        <v>28</v>
      </c>
      <c r="J24" s="1" t="s">
        <v>37</v>
      </c>
      <c r="K24">
        <v>675000</v>
      </c>
    </row>
    <row r="25" spans="1:11" x14ac:dyDescent="0.2">
      <c r="A25" s="2" t="s">
        <v>62</v>
      </c>
      <c r="B25" s="3">
        <v>45694</v>
      </c>
      <c r="C25" s="10" t="s">
        <v>17</v>
      </c>
      <c r="D25" s="10" t="s">
        <v>18</v>
      </c>
      <c r="E25" s="1" t="s">
        <v>31</v>
      </c>
      <c r="F25" s="1" t="s">
        <v>41</v>
      </c>
      <c r="G25">
        <v>300000</v>
      </c>
      <c r="H25" s="1">
        <v>2</v>
      </c>
      <c r="I25" s="1" t="s">
        <v>39</v>
      </c>
      <c r="J25" s="1" t="s">
        <v>37</v>
      </c>
      <c r="K25">
        <v>600000</v>
      </c>
    </row>
    <row r="26" spans="1:11" x14ac:dyDescent="0.2">
      <c r="A26" s="2" t="s">
        <v>63</v>
      </c>
      <c r="B26" s="3">
        <v>45740</v>
      </c>
      <c r="C26" s="10" t="s">
        <v>21</v>
      </c>
      <c r="D26" s="10" t="s">
        <v>22</v>
      </c>
      <c r="E26" s="1" t="s">
        <v>26</v>
      </c>
      <c r="F26" s="1" t="s">
        <v>27</v>
      </c>
      <c r="G26">
        <v>75000</v>
      </c>
      <c r="H26" s="1">
        <v>1</v>
      </c>
      <c r="I26" s="1" t="s">
        <v>39</v>
      </c>
      <c r="J26" s="1" t="s">
        <v>29</v>
      </c>
      <c r="K26">
        <v>75000</v>
      </c>
    </row>
    <row r="27" spans="1:11" x14ac:dyDescent="0.2">
      <c r="A27" s="2" t="s">
        <v>64</v>
      </c>
      <c r="B27" s="3">
        <v>45794</v>
      </c>
      <c r="C27" s="10" t="s">
        <v>13</v>
      </c>
      <c r="D27" s="10" t="s">
        <v>14</v>
      </c>
      <c r="E27" s="1" t="s">
        <v>47</v>
      </c>
      <c r="F27" s="1" t="s">
        <v>34</v>
      </c>
      <c r="G27">
        <v>275000</v>
      </c>
      <c r="H27" s="1">
        <v>1</v>
      </c>
      <c r="I27" s="1" t="s">
        <v>39</v>
      </c>
      <c r="J27" s="1" t="s">
        <v>29</v>
      </c>
      <c r="K27">
        <v>275000</v>
      </c>
    </row>
    <row r="28" spans="1:11" x14ac:dyDescent="0.2">
      <c r="A28" s="2" t="s">
        <v>65</v>
      </c>
      <c r="B28" s="3">
        <v>45662</v>
      </c>
      <c r="C28" s="10" t="s">
        <v>23</v>
      </c>
      <c r="D28" s="10" t="s">
        <v>12</v>
      </c>
      <c r="E28" s="1" t="s">
        <v>31</v>
      </c>
      <c r="F28" s="1" t="s">
        <v>34</v>
      </c>
      <c r="G28">
        <v>375000</v>
      </c>
      <c r="H28" s="1">
        <v>2</v>
      </c>
      <c r="I28" s="1" t="s">
        <v>39</v>
      </c>
      <c r="J28" s="1" t="s">
        <v>29</v>
      </c>
      <c r="K28">
        <v>750000</v>
      </c>
    </row>
    <row r="29" spans="1:11" x14ac:dyDescent="0.2">
      <c r="A29" s="2" t="s">
        <v>66</v>
      </c>
      <c r="B29" s="3">
        <v>45758</v>
      </c>
      <c r="C29" s="10" t="s">
        <v>19</v>
      </c>
      <c r="D29" s="10" t="s">
        <v>20</v>
      </c>
      <c r="E29" s="1" t="s">
        <v>47</v>
      </c>
      <c r="F29" s="1" t="s">
        <v>34</v>
      </c>
      <c r="G29">
        <v>250000</v>
      </c>
      <c r="H29" s="1">
        <v>3</v>
      </c>
      <c r="I29" s="1" t="s">
        <v>39</v>
      </c>
      <c r="J29" s="1" t="s">
        <v>29</v>
      </c>
      <c r="K29">
        <v>750000</v>
      </c>
    </row>
    <row r="30" spans="1:11" x14ac:dyDescent="0.2">
      <c r="A30" s="2" t="s">
        <v>67</v>
      </c>
      <c r="B30" s="3">
        <v>45822</v>
      </c>
      <c r="C30" s="10" t="s">
        <v>21</v>
      </c>
      <c r="D30" s="10" t="s">
        <v>22</v>
      </c>
      <c r="E30" s="1" t="s">
        <v>26</v>
      </c>
      <c r="F30" s="1" t="s">
        <v>32</v>
      </c>
      <c r="G30">
        <v>75000</v>
      </c>
      <c r="H30" s="1">
        <v>3</v>
      </c>
      <c r="I30" s="1" t="s">
        <v>28</v>
      </c>
      <c r="J30" s="1" t="s">
        <v>29</v>
      </c>
      <c r="K30">
        <v>225000</v>
      </c>
    </row>
    <row r="31" spans="1:11" x14ac:dyDescent="0.2">
      <c r="A31" s="2" t="s">
        <v>68</v>
      </c>
      <c r="B31" s="3">
        <v>45691</v>
      </c>
      <c r="C31" s="10" t="s">
        <v>15</v>
      </c>
      <c r="D31" s="10" t="s">
        <v>16</v>
      </c>
      <c r="E31" s="1" t="s">
        <v>36</v>
      </c>
      <c r="F31" s="1" t="s">
        <v>45</v>
      </c>
      <c r="G31">
        <v>225000</v>
      </c>
      <c r="H31" s="1">
        <v>3</v>
      </c>
      <c r="I31" s="1" t="s">
        <v>39</v>
      </c>
      <c r="J31" s="1" t="s">
        <v>37</v>
      </c>
      <c r="K31">
        <v>675000</v>
      </c>
    </row>
    <row r="32" spans="1:11" x14ac:dyDescent="0.2">
      <c r="A32" s="2" t="s">
        <v>69</v>
      </c>
      <c r="B32" s="3">
        <v>45741</v>
      </c>
      <c r="C32" s="10" t="s">
        <v>11</v>
      </c>
      <c r="D32" s="10" t="s">
        <v>12</v>
      </c>
      <c r="E32" s="1" t="s">
        <v>47</v>
      </c>
      <c r="F32" s="1" t="s">
        <v>27</v>
      </c>
      <c r="G32">
        <v>350000</v>
      </c>
      <c r="H32" s="1">
        <v>2</v>
      </c>
      <c r="I32" s="1" t="s">
        <v>28</v>
      </c>
      <c r="J32" s="1" t="s">
        <v>29</v>
      </c>
      <c r="K32">
        <v>700000</v>
      </c>
    </row>
    <row r="33" spans="1:11" x14ac:dyDescent="0.2">
      <c r="A33" s="2" t="s">
        <v>70</v>
      </c>
      <c r="B33" s="3">
        <v>45838</v>
      </c>
      <c r="C33" s="10" t="s">
        <v>23</v>
      </c>
      <c r="D33" s="10" t="s">
        <v>12</v>
      </c>
      <c r="E33" s="1" t="s">
        <v>26</v>
      </c>
      <c r="F33" s="1" t="s">
        <v>27</v>
      </c>
      <c r="G33">
        <v>375000</v>
      </c>
      <c r="H33" s="1">
        <v>3</v>
      </c>
      <c r="I33" s="1" t="s">
        <v>28</v>
      </c>
      <c r="J33" s="1" t="s">
        <v>29</v>
      </c>
      <c r="K33">
        <v>1125000</v>
      </c>
    </row>
    <row r="34" spans="1:11" x14ac:dyDescent="0.2">
      <c r="A34" s="2" t="s">
        <v>71</v>
      </c>
      <c r="B34" s="3">
        <v>45815</v>
      </c>
      <c r="C34" s="10" t="s">
        <v>15</v>
      </c>
      <c r="D34" s="10" t="s">
        <v>16</v>
      </c>
      <c r="E34" s="1" t="s">
        <v>36</v>
      </c>
      <c r="F34" s="1" t="s">
        <v>27</v>
      </c>
      <c r="G34">
        <v>225000</v>
      </c>
      <c r="H34" s="1">
        <v>1</v>
      </c>
      <c r="I34" s="1" t="s">
        <v>28</v>
      </c>
      <c r="J34" s="1" t="s">
        <v>37</v>
      </c>
      <c r="K34">
        <v>225000</v>
      </c>
    </row>
    <row r="35" spans="1:11" x14ac:dyDescent="0.2">
      <c r="A35" s="2" t="s">
        <v>72</v>
      </c>
      <c r="B35" s="3">
        <v>45728</v>
      </c>
      <c r="C35" s="10" t="s">
        <v>17</v>
      </c>
      <c r="D35" s="10" t="s">
        <v>18</v>
      </c>
      <c r="E35" s="1" t="s">
        <v>26</v>
      </c>
      <c r="F35" s="1" t="s">
        <v>34</v>
      </c>
      <c r="G35">
        <v>300000</v>
      </c>
      <c r="H35" s="1">
        <v>1</v>
      </c>
      <c r="I35" s="1" t="s">
        <v>39</v>
      </c>
      <c r="J35" s="1" t="s">
        <v>37</v>
      </c>
      <c r="K35">
        <v>300000</v>
      </c>
    </row>
    <row r="36" spans="1:11" x14ac:dyDescent="0.2">
      <c r="A36" s="2" t="s">
        <v>73</v>
      </c>
      <c r="B36" s="3">
        <v>45821</v>
      </c>
      <c r="C36" s="10" t="s">
        <v>17</v>
      </c>
      <c r="D36" s="10" t="s">
        <v>18</v>
      </c>
      <c r="E36" s="1" t="s">
        <v>31</v>
      </c>
      <c r="F36" s="1" t="s">
        <v>34</v>
      </c>
      <c r="G36">
        <v>300000</v>
      </c>
      <c r="H36" s="1">
        <v>1</v>
      </c>
      <c r="I36" s="1" t="s">
        <v>28</v>
      </c>
      <c r="J36" s="1" t="s">
        <v>37</v>
      </c>
      <c r="K36">
        <v>300000</v>
      </c>
    </row>
    <row r="37" spans="1:11" x14ac:dyDescent="0.2">
      <c r="A37" s="2" t="s">
        <v>74</v>
      </c>
      <c r="B37" s="3">
        <v>45741</v>
      </c>
      <c r="C37" s="10" t="s">
        <v>24</v>
      </c>
      <c r="D37" s="10" t="s">
        <v>16</v>
      </c>
      <c r="E37" s="1" t="s">
        <v>31</v>
      </c>
      <c r="F37" s="1" t="s">
        <v>60</v>
      </c>
      <c r="G37">
        <v>240000</v>
      </c>
      <c r="H37" s="1">
        <v>2</v>
      </c>
      <c r="I37" s="1" t="s">
        <v>39</v>
      </c>
      <c r="J37" s="1" t="s">
        <v>37</v>
      </c>
      <c r="K37">
        <v>480000</v>
      </c>
    </row>
    <row r="38" spans="1:11" x14ac:dyDescent="0.2">
      <c r="A38" s="2" t="s">
        <v>75</v>
      </c>
      <c r="B38" s="3">
        <v>45754</v>
      </c>
      <c r="C38" s="10" t="s">
        <v>23</v>
      </c>
      <c r="D38" s="10" t="s">
        <v>12</v>
      </c>
      <c r="E38" s="1" t="s">
        <v>47</v>
      </c>
      <c r="F38" s="1" t="s">
        <v>27</v>
      </c>
      <c r="G38">
        <v>375000</v>
      </c>
      <c r="H38" s="1">
        <v>2</v>
      </c>
      <c r="I38" s="1" t="s">
        <v>28</v>
      </c>
      <c r="J38" s="1" t="s">
        <v>29</v>
      </c>
      <c r="K38">
        <v>750000</v>
      </c>
    </row>
    <row r="39" spans="1:11" x14ac:dyDescent="0.2">
      <c r="A39" s="2" t="s">
        <v>76</v>
      </c>
      <c r="B39" s="3">
        <v>45837</v>
      </c>
      <c r="C39" s="10" t="s">
        <v>13</v>
      </c>
      <c r="D39" s="10" t="s">
        <v>14</v>
      </c>
      <c r="E39" s="1" t="s">
        <v>31</v>
      </c>
      <c r="F39" s="1" t="s">
        <v>27</v>
      </c>
      <c r="G39">
        <v>275000</v>
      </c>
      <c r="H39" s="1">
        <v>2</v>
      </c>
      <c r="I39" s="1" t="s">
        <v>28</v>
      </c>
      <c r="J39" s="1" t="s">
        <v>29</v>
      </c>
      <c r="K39">
        <v>550000</v>
      </c>
    </row>
    <row r="40" spans="1:11" x14ac:dyDescent="0.2">
      <c r="A40" s="2" t="s">
        <v>77</v>
      </c>
      <c r="B40" s="3">
        <v>45703</v>
      </c>
      <c r="C40" s="10" t="s">
        <v>24</v>
      </c>
      <c r="D40" s="10" t="s">
        <v>16</v>
      </c>
      <c r="E40" s="1" t="s">
        <v>36</v>
      </c>
      <c r="F40" s="1" t="s">
        <v>45</v>
      </c>
      <c r="G40">
        <v>240000</v>
      </c>
      <c r="H40" s="1">
        <v>3</v>
      </c>
      <c r="I40" s="1" t="s">
        <v>39</v>
      </c>
      <c r="J40" s="1" t="s">
        <v>37</v>
      </c>
      <c r="K40">
        <v>720000</v>
      </c>
    </row>
    <row r="41" spans="1:11" x14ac:dyDescent="0.2">
      <c r="A41" s="2" t="s">
        <v>78</v>
      </c>
      <c r="B41" s="3">
        <v>45718</v>
      </c>
      <c r="C41" s="10" t="s">
        <v>24</v>
      </c>
      <c r="D41" s="10" t="s">
        <v>16</v>
      </c>
      <c r="E41" s="1" t="s">
        <v>47</v>
      </c>
      <c r="F41" s="1" t="s">
        <v>32</v>
      </c>
      <c r="G41">
        <v>240000</v>
      </c>
      <c r="H41" s="1">
        <v>3</v>
      </c>
      <c r="I41" s="1" t="s">
        <v>28</v>
      </c>
      <c r="J41" s="1" t="s">
        <v>37</v>
      </c>
      <c r="K41">
        <v>720000</v>
      </c>
    </row>
    <row r="42" spans="1:11" x14ac:dyDescent="0.2">
      <c r="A42" s="2" t="s">
        <v>79</v>
      </c>
      <c r="B42" s="3">
        <v>45689</v>
      </c>
      <c r="C42" s="10" t="s">
        <v>24</v>
      </c>
      <c r="D42" s="10" t="s">
        <v>16</v>
      </c>
      <c r="E42" s="1" t="s">
        <v>47</v>
      </c>
      <c r="F42" s="1" t="s">
        <v>60</v>
      </c>
      <c r="G42">
        <v>240000</v>
      </c>
      <c r="H42" s="1">
        <v>3</v>
      </c>
      <c r="I42" s="1" t="s">
        <v>28</v>
      </c>
      <c r="J42" s="1" t="s">
        <v>29</v>
      </c>
      <c r="K42">
        <v>720000</v>
      </c>
    </row>
    <row r="43" spans="1:11" x14ac:dyDescent="0.2">
      <c r="A43" s="2" t="s">
        <v>80</v>
      </c>
      <c r="B43" s="3">
        <v>45714</v>
      </c>
      <c r="C43" s="10" t="s">
        <v>23</v>
      </c>
      <c r="D43" s="10" t="s">
        <v>12</v>
      </c>
      <c r="E43" s="1" t="s">
        <v>47</v>
      </c>
      <c r="F43" s="1" t="s">
        <v>32</v>
      </c>
      <c r="G43">
        <v>375000</v>
      </c>
      <c r="H43" s="1">
        <v>3</v>
      </c>
      <c r="I43" s="1" t="s">
        <v>28</v>
      </c>
      <c r="J43" s="1" t="s">
        <v>37</v>
      </c>
      <c r="K43">
        <v>1125000</v>
      </c>
    </row>
    <row r="44" spans="1:11" x14ac:dyDescent="0.2">
      <c r="A44" s="2" t="s">
        <v>81</v>
      </c>
      <c r="B44" s="3">
        <v>45812</v>
      </c>
      <c r="C44" s="10" t="s">
        <v>21</v>
      </c>
      <c r="D44" s="10" t="s">
        <v>22</v>
      </c>
      <c r="E44" s="1" t="s">
        <v>26</v>
      </c>
      <c r="F44" s="1" t="s">
        <v>27</v>
      </c>
      <c r="G44">
        <v>75000</v>
      </c>
      <c r="H44" s="1">
        <v>3</v>
      </c>
      <c r="I44" s="1" t="s">
        <v>39</v>
      </c>
      <c r="J44" s="1" t="s">
        <v>37</v>
      </c>
      <c r="K44">
        <v>225000</v>
      </c>
    </row>
    <row r="45" spans="1:11" x14ac:dyDescent="0.2">
      <c r="A45" s="2" t="s">
        <v>82</v>
      </c>
      <c r="B45" s="3">
        <v>45829</v>
      </c>
      <c r="C45" s="10" t="s">
        <v>11</v>
      </c>
      <c r="D45" s="10" t="s">
        <v>12</v>
      </c>
      <c r="E45" s="1" t="s">
        <v>47</v>
      </c>
      <c r="F45" s="1" t="s">
        <v>32</v>
      </c>
      <c r="G45">
        <v>350000</v>
      </c>
      <c r="H45" s="1">
        <v>3</v>
      </c>
      <c r="I45" s="1" t="s">
        <v>28</v>
      </c>
      <c r="J45" s="1" t="s">
        <v>29</v>
      </c>
      <c r="K45">
        <v>1050000</v>
      </c>
    </row>
    <row r="46" spans="1:11" x14ac:dyDescent="0.2">
      <c r="A46" s="2" t="s">
        <v>83</v>
      </c>
      <c r="B46" s="3">
        <v>45697</v>
      </c>
      <c r="C46" s="10" t="s">
        <v>15</v>
      </c>
      <c r="D46" s="10" t="s">
        <v>16</v>
      </c>
      <c r="E46" s="1" t="s">
        <v>47</v>
      </c>
      <c r="F46" s="1" t="s">
        <v>27</v>
      </c>
      <c r="G46">
        <v>225000</v>
      </c>
      <c r="H46" s="1">
        <v>3</v>
      </c>
      <c r="I46" s="1" t="s">
        <v>28</v>
      </c>
      <c r="J46" s="1" t="s">
        <v>29</v>
      </c>
      <c r="K46">
        <v>675000</v>
      </c>
    </row>
    <row r="47" spans="1:11" x14ac:dyDescent="0.2">
      <c r="A47" s="2" t="s">
        <v>84</v>
      </c>
      <c r="B47" s="3">
        <v>45687</v>
      </c>
      <c r="C47" s="10" t="s">
        <v>24</v>
      </c>
      <c r="D47" s="10" t="s">
        <v>16</v>
      </c>
      <c r="E47" s="1" t="s">
        <v>47</v>
      </c>
      <c r="F47" s="1" t="s">
        <v>27</v>
      </c>
      <c r="G47">
        <v>240000</v>
      </c>
      <c r="H47" s="1">
        <v>1</v>
      </c>
      <c r="I47" s="1" t="s">
        <v>39</v>
      </c>
      <c r="J47" s="1" t="s">
        <v>37</v>
      </c>
      <c r="K47">
        <v>240000</v>
      </c>
    </row>
    <row r="48" spans="1:11" x14ac:dyDescent="0.2">
      <c r="A48" s="2" t="s">
        <v>85</v>
      </c>
      <c r="B48" s="3">
        <v>45772</v>
      </c>
      <c r="C48" s="10" t="s">
        <v>24</v>
      </c>
      <c r="D48" s="10" t="s">
        <v>16</v>
      </c>
      <c r="E48" s="1" t="s">
        <v>31</v>
      </c>
      <c r="F48" s="1" t="s">
        <v>60</v>
      </c>
      <c r="G48">
        <v>240000</v>
      </c>
      <c r="H48" s="1">
        <v>1</v>
      </c>
      <c r="I48" s="1" t="s">
        <v>39</v>
      </c>
      <c r="J48" s="1" t="s">
        <v>37</v>
      </c>
      <c r="K48">
        <v>240000</v>
      </c>
    </row>
    <row r="49" spans="1:11" x14ac:dyDescent="0.2">
      <c r="A49" s="2" t="s">
        <v>86</v>
      </c>
      <c r="B49" s="3">
        <v>45696</v>
      </c>
      <c r="C49" s="10" t="s">
        <v>17</v>
      </c>
      <c r="D49" s="10" t="s">
        <v>18</v>
      </c>
      <c r="E49" s="1" t="s">
        <v>31</v>
      </c>
      <c r="F49" s="1" t="s">
        <v>45</v>
      </c>
      <c r="G49">
        <v>300000</v>
      </c>
      <c r="H49" s="1">
        <v>3</v>
      </c>
      <c r="I49" s="1" t="s">
        <v>28</v>
      </c>
      <c r="J49" s="1" t="s">
        <v>29</v>
      </c>
      <c r="K49">
        <v>900000</v>
      </c>
    </row>
    <row r="50" spans="1:11" x14ac:dyDescent="0.2">
      <c r="A50" s="2" t="s">
        <v>87</v>
      </c>
      <c r="B50" s="3">
        <v>45810</v>
      </c>
      <c r="C50" s="10" t="s">
        <v>24</v>
      </c>
      <c r="D50" s="10" t="s">
        <v>16</v>
      </c>
      <c r="E50" s="1" t="s">
        <v>47</v>
      </c>
      <c r="F50" s="1" t="s">
        <v>41</v>
      </c>
      <c r="G50">
        <v>240000</v>
      </c>
      <c r="H50" s="1">
        <v>1</v>
      </c>
      <c r="I50" s="1" t="s">
        <v>39</v>
      </c>
      <c r="J50" s="1" t="s">
        <v>29</v>
      </c>
      <c r="K50">
        <v>240000</v>
      </c>
    </row>
    <row r="51" spans="1:11" x14ac:dyDescent="0.2">
      <c r="A51" s="2" t="s">
        <v>88</v>
      </c>
      <c r="B51" s="3">
        <v>45712</v>
      </c>
      <c r="C51" s="10" t="s">
        <v>19</v>
      </c>
      <c r="D51" s="10" t="s">
        <v>20</v>
      </c>
      <c r="E51" s="1" t="s">
        <v>36</v>
      </c>
      <c r="F51" s="1" t="s">
        <v>41</v>
      </c>
      <c r="G51">
        <v>250000</v>
      </c>
      <c r="H51" s="1">
        <v>1</v>
      </c>
      <c r="I51" s="1" t="s">
        <v>28</v>
      </c>
      <c r="J51" s="1" t="s">
        <v>37</v>
      </c>
      <c r="K51">
        <v>250000</v>
      </c>
    </row>
    <row r="52" spans="1:11" x14ac:dyDescent="0.2">
      <c r="A52" s="2" t="s">
        <v>89</v>
      </c>
      <c r="B52" s="3">
        <v>45820</v>
      </c>
      <c r="C52" s="10" t="s">
        <v>11</v>
      </c>
      <c r="D52" s="10" t="s">
        <v>12</v>
      </c>
      <c r="E52" s="1" t="s">
        <v>47</v>
      </c>
      <c r="F52" s="1" t="s">
        <v>34</v>
      </c>
      <c r="G52">
        <v>350000</v>
      </c>
      <c r="H52" s="1">
        <v>1</v>
      </c>
      <c r="I52" s="1" t="s">
        <v>28</v>
      </c>
      <c r="J52" s="1" t="s">
        <v>29</v>
      </c>
      <c r="K52">
        <v>350000</v>
      </c>
    </row>
    <row r="53" spans="1:11" x14ac:dyDescent="0.2">
      <c r="A53" s="2" t="s">
        <v>90</v>
      </c>
      <c r="B53" s="3">
        <v>45807</v>
      </c>
      <c r="C53" s="10" t="s">
        <v>17</v>
      </c>
      <c r="D53" s="10" t="s">
        <v>18</v>
      </c>
      <c r="E53" s="1" t="s">
        <v>36</v>
      </c>
      <c r="F53" s="1" t="s">
        <v>60</v>
      </c>
      <c r="G53">
        <v>300000</v>
      </c>
      <c r="H53" s="1">
        <v>1</v>
      </c>
      <c r="I53" s="1" t="s">
        <v>39</v>
      </c>
      <c r="J53" s="1" t="s">
        <v>37</v>
      </c>
      <c r="K53">
        <v>300000</v>
      </c>
    </row>
    <row r="54" spans="1:11" x14ac:dyDescent="0.2">
      <c r="A54" s="2" t="s">
        <v>91</v>
      </c>
      <c r="B54" s="3">
        <v>45827</v>
      </c>
      <c r="C54" s="10" t="s">
        <v>23</v>
      </c>
      <c r="D54" s="10" t="s">
        <v>12</v>
      </c>
      <c r="E54" s="1" t="s">
        <v>26</v>
      </c>
      <c r="F54" s="1" t="s">
        <v>45</v>
      </c>
      <c r="G54">
        <v>375000</v>
      </c>
      <c r="H54" s="1">
        <v>1</v>
      </c>
      <c r="I54" s="1" t="s">
        <v>39</v>
      </c>
      <c r="J54" s="1" t="s">
        <v>29</v>
      </c>
      <c r="K54">
        <v>375000</v>
      </c>
    </row>
    <row r="55" spans="1:11" x14ac:dyDescent="0.2">
      <c r="A55" s="2" t="s">
        <v>92</v>
      </c>
      <c r="B55" s="3">
        <v>45819</v>
      </c>
      <c r="C55" s="10" t="s">
        <v>19</v>
      </c>
      <c r="D55" s="10" t="s">
        <v>20</v>
      </c>
      <c r="E55" s="1" t="s">
        <v>47</v>
      </c>
      <c r="F55" s="1" t="s">
        <v>27</v>
      </c>
      <c r="G55">
        <v>250000</v>
      </c>
      <c r="H55" s="1">
        <v>2</v>
      </c>
      <c r="I55" s="1" t="s">
        <v>28</v>
      </c>
      <c r="J55" s="1" t="s">
        <v>37</v>
      </c>
      <c r="K55">
        <v>500000</v>
      </c>
    </row>
    <row r="56" spans="1:11" x14ac:dyDescent="0.2">
      <c r="A56" s="2" t="s">
        <v>93</v>
      </c>
      <c r="B56" s="3">
        <v>45786</v>
      </c>
      <c r="C56" s="10" t="s">
        <v>15</v>
      </c>
      <c r="D56" s="10" t="s">
        <v>16</v>
      </c>
      <c r="E56" s="1" t="s">
        <v>36</v>
      </c>
      <c r="F56" s="1" t="s">
        <v>41</v>
      </c>
      <c r="G56">
        <v>225000</v>
      </c>
      <c r="H56" s="1">
        <v>3</v>
      </c>
      <c r="I56" s="1" t="s">
        <v>39</v>
      </c>
      <c r="J56" s="1" t="s">
        <v>37</v>
      </c>
      <c r="K56">
        <v>675000</v>
      </c>
    </row>
    <row r="57" spans="1:11" x14ac:dyDescent="0.2">
      <c r="A57" s="2" t="s">
        <v>94</v>
      </c>
      <c r="B57" s="3">
        <v>45760</v>
      </c>
      <c r="C57" s="10" t="s">
        <v>11</v>
      </c>
      <c r="D57" s="10" t="s">
        <v>12</v>
      </c>
      <c r="E57" s="1" t="s">
        <v>26</v>
      </c>
      <c r="F57" s="1" t="s">
        <v>41</v>
      </c>
      <c r="G57">
        <v>350000</v>
      </c>
      <c r="H57" s="1">
        <v>3</v>
      </c>
      <c r="I57" s="1" t="s">
        <v>28</v>
      </c>
      <c r="J57" s="1" t="s">
        <v>37</v>
      </c>
      <c r="K57">
        <v>1050000</v>
      </c>
    </row>
    <row r="58" spans="1:11" x14ac:dyDescent="0.2">
      <c r="A58" s="2" t="s">
        <v>95</v>
      </c>
      <c r="B58" s="3">
        <v>45706</v>
      </c>
      <c r="C58" s="10" t="s">
        <v>19</v>
      </c>
      <c r="D58" s="10" t="s">
        <v>20</v>
      </c>
      <c r="E58" s="1" t="s">
        <v>26</v>
      </c>
      <c r="F58" s="1" t="s">
        <v>27</v>
      </c>
      <c r="G58">
        <v>250000</v>
      </c>
      <c r="H58" s="1">
        <v>1</v>
      </c>
      <c r="I58" s="1" t="s">
        <v>28</v>
      </c>
      <c r="J58" s="1" t="s">
        <v>29</v>
      </c>
      <c r="K58">
        <v>250000</v>
      </c>
    </row>
    <row r="59" spans="1:11" x14ac:dyDescent="0.2">
      <c r="A59" s="2" t="s">
        <v>96</v>
      </c>
      <c r="B59" s="3">
        <v>45790</v>
      </c>
      <c r="C59" s="10" t="s">
        <v>11</v>
      </c>
      <c r="D59" s="10" t="s">
        <v>12</v>
      </c>
      <c r="E59" s="1" t="s">
        <v>31</v>
      </c>
      <c r="F59" s="1" t="s">
        <v>41</v>
      </c>
      <c r="G59">
        <v>350000</v>
      </c>
      <c r="H59" s="1">
        <v>1</v>
      </c>
      <c r="I59" s="1" t="s">
        <v>39</v>
      </c>
      <c r="J59" s="1" t="s">
        <v>37</v>
      </c>
      <c r="K59">
        <v>350000</v>
      </c>
    </row>
    <row r="60" spans="1:11" x14ac:dyDescent="0.2">
      <c r="A60" s="2" t="s">
        <v>97</v>
      </c>
      <c r="B60" s="3">
        <v>45699</v>
      </c>
      <c r="C60" s="10" t="s">
        <v>11</v>
      </c>
      <c r="D60" s="10" t="s">
        <v>12</v>
      </c>
      <c r="E60" s="1" t="s">
        <v>47</v>
      </c>
      <c r="F60" s="1" t="s">
        <v>60</v>
      </c>
      <c r="G60">
        <v>350000</v>
      </c>
      <c r="H60" s="1">
        <v>3</v>
      </c>
      <c r="I60" s="1" t="s">
        <v>39</v>
      </c>
      <c r="J60" s="1" t="s">
        <v>29</v>
      </c>
      <c r="K60">
        <v>1050000</v>
      </c>
    </row>
    <row r="61" spans="1:11" x14ac:dyDescent="0.2">
      <c r="A61" s="2" t="s">
        <v>98</v>
      </c>
      <c r="B61" s="3">
        <v>45762</v>
      </c>
      <c r="C61" s="10" t="s">
        <v>24</v>
      </c>
      <c r="D61" s="10" t="s">
        <v>16</v>
      </c>
      <c r="E61" s="1" t="s">
        <v>36</v>
      </c>
      <c r="F61" s="1" t="s">
        <v>34</v>
      </c>
      <c r="G61">
        <v>240000</v>
      </c>
      <c r="H61" s="1">
        <v>2</v>
      </c>
      <c r="I61" s="1" t="s">
        <v>39</v>
      </c>
      <c r="J61" s="1" t="s">
        <v>29</v>
      </c>
      <c r="K61">
        <v>480000</v>
      </c>
    </row>
    <row r="62" spans="1:11" x14ac:dyDescent="0.2">
      <c r="A62" s="2" t="s">
        <v>99</v>
      </c>
      <c r="B62" s="3">
        <v>45755</v>
      </c>
      <c r="C62" s="10" t="s">
        <v>19</v>
      </c>
      <c r="D62" s="10" t="s">
        <v>20</v>
      </c>
      <c r="E62" s="1" t="s">
        <v>36</v>
      </c>
      <c r="F62" s="1" t="s">
        <v>27</v>
      </c>
      <c r="G62">
        <v>250000</v>
      </c>
      <c r="H62" s="1">
        <v>2</v>
      </c>
      <c r="I62" s="1" t="s">
        <v>39</v>
      </c>
      <c r="J62" s="1" t="s">
        <v>37</v>
      </c>
      <c r="K62">
        <v>500000</v>
      </c>
    </row>
    <row r="63" spans="1:11" x14ac:dyDescent="0.2">
      <c r="A63" s="2" t="s">
        <v>100</v>
      </c>
      <c r="B63" s="3">
        <v>45826</v>
      </c>
      <c r="C63" s="10" t="s">
        <v>17</v>
      </c>
      <c r="D63" s="10" t="s">
        <v>18</v>
      </c>
      <c r="E63" s="1" t="s">
        <v>31</v>
      </c>
      <c r="F63" s="1" t="s">
        <v>34</v>
      </c>
      <c r="G63">
        <v>300000</v>
      </c>
      <c r="H63" s="1">
        <v>1</v>
      </c>
      <c r="I63" s="1" t="s">
        <v>28</v>
      </c>
      <c r="J63" s="1" t="s">
        <v>29</v>
      </c>
      <c r="K63">
        <v>300000</v>
      </c>
    </row>
    <row r="64" spans="1:11" x14ac:dyDescent="0.2">
      <c r="A64" s="2" t="s">
        <v>101</v>
      </c>
      <c r="B64" s="3">
        <v>45675</v>
      </c>
      <c r="C64" s="10" t="s">
        <v>21</v>
      </c>
      <c r="D64" s="10" t="s">
        <v>22</v>
      </c>
      <c r="E64" s="1" t="s">
        <v>26</v>
      </c>
      <c r="F64" s="1" t="s">
        <v>45</v>
      </c>
      <c r="G64">
        <v>75000</v>
      </c>
      <c r="H64" s="1">
        <v>3</v>
      </c>
      <c r="I64" s="1" t="s">
        <v>28</v>
      </c>
      <c r="J64" s="1" t="s">
        <v>29</v>
      </c>
      <c r="K64">
        <v>225000</v>
      </c>
    </row>
    <row r="65" spans="1:11" x14ac:dyDescent="0.2">
      <c r="A65" s="2" t="s">
        <v>102</v>
      </c>
      <c r="B65" s="3">
        <v>45801</v>
      </c>
      <c r="C65" s="10" t="s">
        <v>11</v>
      </c>
      <c r="D65" s="10" t="s">
        <v>12</v>
      </c>
      <c r="E65" s="1" t="s">
        <v>26</v>
      </c>
      <c r="F65" s="1" t="s">
        <v>32</v>
      </c>
      <c r="G65">
        <v>350000</v>
      </c>
      <c r="H65" s="1">
        <v>1</v>
      </c>
      <c r="I65" s="1" t="s">
        <v>39</v>
      </c>
      <c r="J65" s="1" t="s">
        <v>37</v>
      </c>
      <c r="K65">
        <v>350000</v>
      </c>
    </row>
    <row r="66" spans="1:11" x14ac:dyDescent="0.2">
      <c r="A66" s="2" t="s">
        <v>103</v>
      </c>
      <c r="B66" s="3">
        <v>45714</v>
      </c>
      <c r="C66" s="10" t="s">
        <v>17</v>
      </c>
      <c r="D66" s="10" t="s">
        <v>18</v>
      </c>
      <c r="E66" s="1" t="s">
        <v>31</v>
      </c>
      <c r="F66" s="1" t="s">
        <v>32</v>
      </c>
      <c r="G66">
        <v>300000</v>
      </c>
      <c r="H66" s="1">
        <v>2</v>
      </c>
      <c r="I66" s="1" t="s">
        <v>28</v>
      </c>
      <c r="J66" s="1" t="s">
        <v>37</v>
      </c>
      <c r="K66">
        <v>600000</v>
      </c>
    </row>
    <row r="67" spans="1:11" x14ac:dyDescent="0.2">
      <c r="A67" s="2" t="s">
        <v>104</v>
      </c>
      <c r="B67" s="3">
        <v>45671</v>
      </c>
      <c r="C67" s="10" t="s">
        <v>15</v>
      </c>
      <c r="D67" s="10" t="s">
        <v>16</v>
      </c>
      <c r="E67" s="1" t="s">
        <v>36</v>
      </c>
      <c r="F67" s="1" t="s">
        <v>60</v>
      </c>
      <c r="G67">
        <v>225000</v>
      </c>
      <c r="H67" s="1">
        <v>2</v>
      </c>
      <c r="I67" s="1" t="s">
        <v>39</v>
      </c>
      <c r="J67" s="1" t="s">
        <v>37</v>
      </c>
      <c r="K67">
        <v>450000</v>
      </c>
    </row>
    <row r="68" spans="1:11" x14ac:dyDescent="0.2">
      <c r="A68" s="2" t="s">
        <v>105</v>
      </c>
      <c r="B68" s="3">
        <v>45664</v>
      </c>
      <c r="C68" s="10" t="s">
        <v>11</v>
      </c>
      <c r="D68" s="10" t="s">
        <v>12</v>
      </c>
      <c r="E68" s="1" t="s">
        <v>47</v>
      </c>
      <c r="F68" s="1" t="s">
        <v>45</v>
      </c>
      <c r="G68">
        <v>350000</v>
      </c>
      <c r="H68" s="1">
        <v>3</v>
      </c>
      <c r="I68" s="1" t="s">
        <v>39</v>
      </c>
      <c r="J68" s="1" t="s">
        <v>37</v>
      </c>
      <c r="K68">
        <v>1050000</v>
      </c>
    </row>
    <row r="69" spans="1:11" x14ac:dyDescent="0.2">
      <c r="A69" s="2" t="s">
        <v>106</v>
      </c>
      <c r="B69" s="3">
        <v>45764</v>
      </c>
      <c r="C69" s="10" t="s">
        <v>13</v>
      </c>
      <c r="D69" s="10" t="s">
        <v>14</v>
      </c>
      <c r="E69" s="1" t="s">
        <v>47</v>
      </c>
      <c r="F69" s="1" t="s">
        <v>45</v>
      </c>
      <c r="G69">
        <v>275000</v>
      </c>
      <c r="H69" s="1">
        <v>1</v>
      </c>
      <c r="I69" s="1" t="s">
        <v>28</v>
      </c>
      <c r="J69" s="1" t="s">
        <v>29</v>
      </c>
      <c r="K69">
        <v>275000</v>
      </c>
    </row>
    <row r="70" spans="1:11" x14ac:dyDescent="0.2">
      <c r="A70" s="2" t="s">
        <v>107</v>
      </c>
      <c r="B70" s="3">
        <v>45817</v>
      </c>
      <c r="C70" s="10" t="s">
        <v>17</v>
      </c>
      <c r="D70" s="10" t="s">
        <v>18</v>
      </c>
      <c r="E70" s="1" t="s">
        <v>26</v>
      </c>
      <c r="F70" s="1" t="s">
        <v>27</v>
      </c>
      <c r="G70">
        <v>300000</v>
      </c>
      <c r="H70" s="1">
        <v>1</v>
      </c>
      <c r="I70" s="1" t="s">
        <v>28</v>
      </c>
      <c r="J70" s="1" t="s">
        <v>37</v>
      </c>
      <c r="K70">
        <v>300000</v>
      </c>
    </row>
    <row r="71" spans="1:11" x14ac:dyDescent="0.2">
      <c r="A71" s="2" t="s">
        <v>108</v>
      </c>
      <c r="B71" s="3">
        <v>45660</v>
      </c>
      <c r="C71" s="10" t="s">
        <v>23</v>
      </c>
      <c r="D71" s="10" t="s">
        <v>12</v>
      </c>
      <c r="E71" s="1" t="s">
        <v>31</v>
      </c>
      <c r="F71" s="1" t="s">
        <v>45</v>
      </c>
      <c r="G71">
        <v>375000</v>
      </c>
      <c r="H71" s="1">
        <v>1</v>
      </c>
      <c r="I71" s="1" t="s">
        <v>39</v>
      </c>
      <c r="J71" s="1" t="s">
        <v>37</v>
      </c>
      <c r="K71">
        <v>375000</v>
      </c>
    </row>
    <row r="72" spans="1:11" x14ac:dyDescent="0.2">
      <c r="A72" s="2" t="s">
        <v>109</v>
      </c>
      <c r="B72" s="3">
        <v>45791</v>
      </c>
      <c r="C72" s="10" t="s">
        <v>11</v>
      </c>
      <c r="D72" s="10" t="s">
        <v>12</v>
      </c>
      <c r="E72" s="1" t="s">
        <v>36</v>
      </c>
      <c r="F72" s="1" t="s">
        <v>60</v>
      </c>
      <c r="G72">
        <v>350000</v>
      </c>
      <c r="H72" s="1">
        <v>1</v>
      </c>
      <c r="I72" s="1" t="s">
        <v>28</v>
      </c>
      <c r="J72" s="1" t="s">
        <v>37</v>
      </c>
      <c r="K72">
        <v>350000</v>
      </c>
    </row>
    <row r="73" spans="1:11" x14ac:dyDescent="0.2">
      <c r="A73" s="2" t="s">
        <v>110</v>
      </c>
      <c r="B73" s="3">
        <v>45722</v>
      </c>
      <c r="C73" s="10" t="s">
        <v>13</v>
      </c>
      <c r="D73" s="10" t="s">
        <v>14</v>
      </c>
      <c r="E73" s="1" t="s">
        <v>47</v>
      </c>
      <c r="F73" s="1" t="s">
        <v>32</v>
      </c>
      <c r="G73">
        <v>275000</v>
      </c>
      <c r="H73" s="1">
        <v>1</v>
      </c>
      <c r="I73" s="1" t="s">
        <v>28</v>
      </c>
      <c r="J73" s="1" t="s">
        <v>29</v>
      </c>
      <c r="K73">
        <v>275000</v>
      </c>
    </row>
    <row r="74" spans="1:11" x14ac:dyDescent="0.2">
      <c r="A74" s="2" t="s">
        <v>111</v>
      </c>
      <c r="B74" s="3">
        <v>45734</v>
      </c>
      <c r="C74" s="10" t="s">
        <v>17</v>
      </c>
      <c r="D74" s="10" t="s">
        <v>18</v>
      </c>
      <c r="E74" s="1" t="s">
        <v>26</v>
      </c>
      <c r="F74" s="1" t="s">
        <v>41</v>
      </c>
      <c r="G74">
        <v>300000</v>
      </c>
      <c r="H74" s="1">
        <v>1</v>
      </c>
      <c r="I74" s="1" t="s">
        <v>39</v>
      </c>
      <c r="J74" s="1" t="s">
        <v>37</v>
      </c>
      <c r="K74">
        <v>300000</v>
      </c>
    </row>
    <row r="75" spans="1:11" x14ac:dyDescent="0.2">
      <c r="A75" s="2" t="s">
        <v>112</v>
      </c>
      <c r="B75" s="3">
        <v>45763</v>
      </c>
      <c r="C75" s="10" t="s">
        <v>17</v>
      </c>
      <c r="D75" s="10" t="s">
        <v>18</v>
      </c>
      <c r="E75" s="1" t="s">
        <v>26</v>
      </c>
      <c r="F75" s="1" t="s">
        <v>34</v>
      </c>
      <c r="G75">
        <v>300000</v>
      </c>
      <c r="H75" s="1">
        <v>3</v>
      </c>
      <c r="I75" s="1" t="s">
        <v>28</v>
      </c>
      <c r="J75" s="1" t="s">
        <v>37</v>
      </c>
      <c r="K75">
        <v>900000</v>
      </c>
    </row>
    <row r="76" spans="1:11" x14ac:dyDescent="0.2">
      <c r="A76" s="2" t="s">
        <v>113</v>
      </c>
      <c r="B76" s="3">
        <v>45774</v>
      </c>
      <c r="C76" s="10" t="s">
        <v>24</v>
      </c>
      <c r="D76" s="10" t="s">
        <v>16</v>
      </c>
      <c r="E76" s="1" t="s">
        <v>31</v>
      </c>
      <c r="F76" s="1" t="s">
        <v>32</v>
      </c>
      <c r="G76">
        <v>240000</v>
      </c>
      <c r="H76" s="1">
        <v>1</v>
      </c>
      <c r="I76" s="1" t="s">
        <v>28</v>
      </c>
      <c r="J76" s="1" t="s">
        <v>29</v>
      </c>
      <c r="K76">
        <v>240000</v>
      </c>
    </row>
    <row r="77" spans="1:11" x14ac:dyDescent="0.2">
      <c r="A77" s="2" t="s">
        <v>114</v>
      </c>
      <c r="B77" s="3">
        <v>45692</v>
      </c>
      <c r="C77" s="10" t="s">
        <v>23</v>
      </c>
      <c r="D77" s="10" t="s">
        <v>12</v>
      </c>
      <c r="E77" s="1" t="s">
        <v>31</v>
      </c>
      <c r="F77" s="1" t="s">
        <v>32</v>
      </c>
      <c r="G77">
        <v>375000</v>
      </c>
      <c r="H77" s="1">
        <v>3</v>
      </c>
      <c r="I77" s="1" t="s">
        <v>39</v>
      </c>
      <c r="J77" s="1" t="s">
        <v>29</v>
      </c>
      <c r="K77">
        <v>1125000</v>
      </c>
    </row>
    <row r="78" spans="1:11" x14ac:dyDescent="0.2">
      <c r="A78" s="2" t="s">
        <v>115</v>
      </c>
      <c r="B78" s="3">
        <v>45693</v>
      </c>
      <c r="C78" s="10" t="s">
        <v>17</v>
      </c>
      <c r="D78" s="10" t="s">
        <v>18</v>
      </c>
      <c r="E78" s="1" t="s">
        <v>26</v>
      </c>
      <c r="F78" s="1" t="s">
        <v>27</v>
      </c>
      <c r="G78">
        <v>300000</v>
      </c>
      <c r="H78" s="1">
        <v>1</v>
      </c>
      <c r="I78" s="1" t="s">
        <v>39</v>
      </c>
      <c r="J78" s="1" t="s">
        <v>37</v>
      </c>
      <c r="K78">
        <v>300000</v>
      </c>
    </row>
    <row r="79" spans="1:11" x14ac:dyDescent="0.2">
      <c r="A79" s="2" t="s">
        <v>116</v>
      </c>
      <c r="B79" s="3">
        <v>45751</v>
      </c>
      <c r="C79" s="10" t="s">
        <v>11</v>
      </c>
      <c r="D79" s="10" t="s">
        <v>12</v>
      </c>
      <c r="E79" s="1" t="s">
        <v>26</v>
      </c>
      <c r="F79" s="1" t="s">
        <v>34</v>
      </c>
      <c r="G79">
        <v>350000</v>
      </c>
      <c r="H79" s="1">
        <v>2</v>
      </c>
      <c r="I79" s="1" t="s">
        <v>28</v>
      </c>
      <c r="J79" s="1" t="s">
        <v>37</v>
      </c>
      <c r="K79">
        <v>700000</v>
      </c>
    </row>
    <row r="80" spans="1:11" x14ac:dyDescent="0.2">
      <c r="A80" s="2" t="s">
        <v>117</v>
      </c>
      <c r="B80" s="3">
        <v>45790</v>
      </c>
      <c r="C80" s="10" t="s">
        <v>17</v>
      </c>
      <c r="D80" s="10" t="s">
        <v>18</v>
      </c>
      <c r="E80" s="1" t="s">
        <v>47</v>
      </c>
      <c r="F80" s="1" t="s">
        <v>34</v>
      </c>
      <c r="G80">
        <v>300000</v>
      </c>
      <c r="H80" s="1">
        <v>2</v>
      </c>
      <c r="I80" s="1" t="s">
        <v>28</v>
      </c>
      <c r="J80" s="1" t="s">
        <v>37</v>
      </c>
      <c r="K80">
        <v>600000</v>
      </c>
    </row>
    <row r="81" spans="1:11" x14ac:dyDescent="0.2">
      <c r="A81" s="2" t="s">
        <v>118</v>
      </c>
      <c r="B81" s="3">
        <v>45715</v>
      </c>
      <c r="C81" s="10" t="s">
        <v>11</v>
      </c>
      <c r="D81" s="10" t="s">
        <v>12</v>
      </c>
      <c r="E81" s="1" t="s">
        <v>26</v>
      </c>
      <c r="F81" s="1" t="s">
        <v>60</v>
      </c>
      <c r="G81">
        <v>350000</v>
      </c>
      <c r="H81" s="1">
        <v>3</v>
      </c>
      <c r="I81" s="1" t="s">
        <v>39</v>
      </c>
      <c r="J81" s="1" t="s">
        <v>37</v>
      </c>
      <c r="K81">
        <v>1050000</v>
      </c>
    </row>
    <row r="82" spans="1:11" x14ac:dyDescent="0.2">
      <c r="A82" s="2" t="s">
        <v>119</v>
      </c>
      <c r="B82" s="3">
        <v>45788</v>
      </c>
      <c r="C82" s="10" t="s">
        <v>23</v>
      </c>
      <c r="D82" s="10" t="s">
        <v>12</v>
      </c>
      <c r="E82" s="1" t="s">
        <v>31</v>
      </c>
      <c r="F82" s="1" t="s">
        <v>60</v>
      </c>
      <c r="G82">
        <v>375000</v>
      </c>
      <c r="H82" s="1">
        <v>3</v>
      </c>
      <c r="I82" s="1" t="s">
        <v>39</v>
      </c>
      <c r="J82" s="1" t="s">
        <v>29</v>
      </c>
      <c r="K82">
        <v>1125000</v>
      </c>
    </row>
    <row r="83" spans="1:11" x14ac:dyDescent="0.2">
      <c r="A83" s="2" t="s">
        <v>120</v>
      </c>
      <c r="B83" s="3">
        <v>45698</v>
      </c>
      <c r="C83" s="10" t="s">
        <v>13</v>
      </c>
      <c r="D83" s="10" t="s">
        <v>14</v>
      </c>
      <c r="E83" s="1" t="s">
        <v>47</v>
      </c>
      <c r="F83" s="1" t="s">
        <v>45</v>
      </c>
      <c r="G83">
        <v>275000</v>
      </c>
      <c r="H83" s="1">
        <v>3</v>
      </c>
      <c r="I83" s="1" t="s">
        <v>28</v>
      </c>
      <c r="J83" s="1" t="s">
        <v>37</v>
      </c>
      <c r="K83">
        <v>825000</v>
      </c>
    </row>
    <row r="84" spans="1:11" x14ac:dyDescent="0.2">
      <c r="A84" s="2" t="s">
        <v>121</v>
      </c>
      <c r="B84" s="3">
        <v>45698</v>
      </c>
      <c r="C84" s="10" t="s">
        <v>15</v>
      </c>
      <c r="D84" s="10" t="s">
        <v>16</v>
      </c>
      <c r="E84" s="1" t="s">
        <v>47</v>
      </c>
      <c r="F84" s="1" t="s">
        <v>32</v>
      </c>
      <c r="G84">
        <v>225000</v>
      </c>
      <c r="H84" s="1">
        <v>3</v>
      </c>
      <c r="I84" s="1" t="s">
        <v>28</v>
      </c>
      <c r="J84" s="1" t="s">
        <v>37</v>
      </c>
      <c r="K84">
        <v>675000</v>
      </c>
    </row>
    <row r="85" spans="1:11" x14ac:dyDescent="0.2">
      <c r="A85" s="2" t="s">
        <v>122</v>
      </c>
      <c r="B85" s="3">
        <v>45758</v>
      </c>
      <c r="C85" s="10" t="s">
        <v>24</v>
      </c>
      <c r="D85" s="10" t="s">
        <v>16</v>
      </c>
      <c r="E85" s="1" t="s">
        <v>36</v>
      </c>
      <c r="F85" s="1" t="s">
        <v>60</v>
      </c>
      <c r="G85">
        <v>240000</v>
      </c>
      <c r="H85" s="1">
        <v>3</v>
      </c>
      <c r="I85" s="1" t="s">
        <v>28</v>
      </c>
      <c r="J85" s="1" t="s">
        <v>29</v>
      </c>
      <c r="K85">
        <v>720000</v>
      </c>
    </row>
    <row r="86" spans="1:11" x14ac:dyDescent="0.2">
      <c r="A86" s="2" t="s">
        <v>123</v>
      </c>
      <c r="B86" s="3">
        <v>45669</v>
      </c>
      <c r="C86" s="10" t="s">
        <v>15</v>
      </c>
      <c r="D86" s="10" t="s">
        <v>16</v>
      </c>
      <c r="E86" s="1" t="s">
        <v>47</v>
      </c>
      <c r="F86" s="1" t="s">
        <v>34</v>
      </c>
      <c r="G86">
        <v>225000</v>
      </c>
      <c r="H86" s="1">
        <v>2</v>
      </c>
      <c r="I86" s="1" t="s">
        <v>28</v>
      </c>
      <c r="J86" s="1" t="s">
        <v>29</v>
      </c>
      <c r="K86">
        <v>450000</v>
      </c>
    </row>
    <row r="87" spans="1:11" x14ac:dyDescent="0.2">
      <c r="A87" s="2" t="s">
        <v>124</v>
      </c>
      <c r="B87" s="3">
        <v>45669</v>
      </c>
      <c r="C87" s="10" t="s">
        <v>11</v>
      </c>
      <c r="D87" s="10" t="s">
        <v>12</v>
      </c>
      <c r="E87" s="1" t="s">
        <v>31</v>
      </c>
      <c r="F87" s="1" t="s">
        <v>27</v>
      </c>
      <c r="G87">
        <v>350000</v>
      </c>
      <c r="H87" s="1">
        <v>1</v>
      </c>
      <c r="I87" s="1" t="s">
        <v>39</v>
      </c>
      <c r="J87" s="1" t="s">
        <v>37</v>
      </c>
      <c r="K87">
        <v>350000</v>
      </c>
    </row>
    <row r="88" spans="1:11" x14ac:dyDescent="0.2">
      <c r="A88" s="2" t="s">
        <v>125</v>
      </c>
      <c r="B88" s="3">
        <v>45741</v>
      </c>
      <c r="C88" s="10" t="s">
        <v>24</v>
      </c>
      <c r="D88" s="10" t="s">
        <v>16</v>
      </c>
      <c r="E88" s="1" t="s">
        <v>31</v>
      </c>
      <c r="F88" s="1" t="s">
        <v>34</v>
      </c>
      <c r="G88">
        <v>240000</v>
      </c>
      <c r="H88" s="1">
        <v>1</v>
      </c>
      <c r="I88" s="1" t="s">
        <v>28</v>
      </c>
      <c r="J88" s="1" t="s">
        <v>29</v>
      </c>
      <c r="K88">
        <v>240000</v>
      </c>
    </row>
    <row r="89" spans="1:11" x14ac:dyDescent="0.2">
      <c r="A89" s="2" t="s">
        <v>126</v>
      </c>
      <c r="B89" s="3">
        <v>45762</v>
      </c>
      <c r="C89" s="10" t="s">
        <v>11</v>
      </c>
      <c r="D89" s="10" t="s">
        <v>12</v>
      </c>
      <c r="E89" s="1" t="s">
        <v>31</v>
      </c>
      <c r="F89" s="1" t="s">
        <v>34</v>
      </c>
      <c r="G89">
        <v>350000</v>
      </c>
      <c r="H89" s="1">
        <v>3</v>
      </c>
      <c r="I89" s="1" t="s">
        <v>28</v>
      </c>
      <c r="J89" s="1" t="s">
        <v>29</v>
      </c>
      <c r="K89">
        <v>1050000</v>
      </c>
    </row>
    <row r="90" spans="1:11" x14ac:dyDescent="0.2">
      <c r="A90" s="2" t="s">
        <v>127</v>
      </c>
      <c r="B90" s="3">
        <v>45837</v>
      </c>
      <c r="C90" s="10" t="s">
        <v>23</v>
      </c>
      <c r="D90" s="10" t="s">
        <v>12</v>
      </c>
      <c r="E90" s="1" t="s">
        <v>26</v>
      </c>
      <c r="F90" s="1" t="s">
        <v>41</v>
      </c>
      <c r="G90">
        <v>375000</v>
      </c>
      <c r="H90" s="1">
        <v>3</v>
      </c>
      <c r="I90" s="1" t="s">
        <v>28</v>
      </c>
      <c r="J90" s="1" t="s">
        <v>29</v>
      </c>
      <c r="K90">
        <v>1125000</v>
      </c>
    </row>
    <row r="91" spans="1:11" x14ac:dyDescent="0.2">
      <c r="A91" s="2" t="s">
        <v>128</v>
      </c>
      <c r="B91" s="3">
        <v>45713</v>
      </c>
      <c r="C91" s="10" t="s">
        <v>13</v>
      </c>
      <c r="D91" s="10" t="s">
        <v>14</v>
      </c>
      <c r="E91" s="1" t="s">
        <v>31</v>
      </c>
      <c r="F91" s="1" t="s">
        <v>32</v>
      </c>
      <c r="G91">
        <v>275000</v>
      </c>
      <c r="H91" s="1">
        <v>1</v>
      </c>
      <c r="I91" s="1" t="s">
        <v>28</v>
      </c>
      <c r="J91" s="1" t="s">
        <v>29</v>
      </c>
      <c r="K91">
        <v>275000</v>
      </c>
    </row>
    <row r="92" spans="1:11" x14ac:dyDescent="0.2">
      <c r="A92" s="2" t="s">
        <v>129</v>
      </c>
      <c r="B92" s="3">
        <v>45762</v>
      </c>
      <c r="C92" s="10" t="s">
        <v>13</v>
      </c>
      <c r="D92" s="10" t="s">
        <v>14</v>
      </c>
      <c r="E92" s="1" t="s">
        <v>31</v>
      </c>
      <c r="F92" s="1" t="s">
        <v>41</v>
      </c>
      <c r="G92">
        <v>275000</v>
      </c>
      <c r="H92" s="1">
        <v>1</v>
      </c>
      <c r="I92" s="1" t="s">
        <v>28</v>
      </c>
      <c r="J92" s="1" t="s">
        <v>37</v>
      </c>
      <c r="K92">
        <v>275000</v>
      </c>
    </row>
    <row r="93" spans="1:11" x14ac:dyDescent="0.2">
      <c r="A93" s="2" t="s">
        <v>130</v>
      </c>
      <c r="B93" s="3">
        <v>45690</v>
      </c>
      <c r="C93" s="10" t="s">
        <v>11</v>
      </c>
      <c r="D93" s="10" t="s">
        <v>12</v>
      </c>
      <c r="E93" s="1" t="s">
        <v>36</v>
      </c>
      <c r="F93" s="1" t="s">
        <v>27</v>
      </c>
      <c r="G93">
        <v>350000</v>
      </c>
      <c r="H93" s="1">
        <v>3</v>
      </c>
      <c r="I93" s="1" t="s">
        <v>39</v>
      </c>
      <c r="J93" s="1" t="s">
        <v>29</v>
      </c>
      <c r="K93">
        <v>1050000</v>
      </c>
    </row>
    <row r="94" spans="1:11" x14ac:dyDescent="0.2">
      <c r="A94" s="2" t="s">
        <v>131</v>
      </c>
      <c r="B94" s="3">
        <v>45835</v>
      </c>
      <c r="C94" s="10" t="s">
        <v>13</v>
      </c>
      <c r="D94" s="10" t="s">
        <v>14</v>
      </c>
      <c r="E94" s="1" t="s">
        <v>26</v>
      </c>
      <c r="F94" s="1" t="s">
        <v>32</v>
      </c>
      <c r="G94">
        <v>275000</v>
      </c>
      <c r="H94" s="1">
        <v>2</v>
      </c>
      <c r="I94" s="1" t="s">
        <v>39</v>
      </c>
      <c r="J94" s="1" t="s">
        <v>37</v>
      </c>
      <c r="K94">
        <v>550000</v>
      </c>
    </row>
    <row r="95" spans="1:11" x14ac:dyDescent="0.2">
      <c r="A95" s="2" t="s">
        <v>132</v>
      </c>
      <c r="B95" s="3">
        <v>45693</v>
      </c>
      <c r="C95" s="10" t="s">
        <v>13</v>
      </c>
      <c r="D95" s="10" t="s">
        <v>14</v>
      </c>
      <c r="E95" s="1" t="s">
        <v>36</v>
      </c>
      <c r="F95" s="1" t="s">
        <v>41</v>
      </c>
      <c r="G95">
        <v>275000</v>
      </c>
      <c r="H95" s="1">
        <v>2</v>
      </c>
      <c r="I95" s="1" t="s">
        <v>39</v>
      </c>
      <c r="J95" s="1" t="s">
        <v>29</v>
      </c>
      <c r="K95">
        <v>550000</v>
      </c>
    </row>
    <row r="96" spans="1:11" x14ac:dyDescent="0.2">
      <c r="A96" s="2" t="s">
        <v>133</v>
      </c>
      <c r="B96" s="3">
        <v>45767</v>
      </c>
      <c r="C96" s="10" t="s">
        <v>24</v>
      </c>
      <c r="D96" s="10" t="s">
        <v>16</v>
      </c>
      <c r="E96" s="1" t="s">
        <v>47</v>
      </c>
      <c r="F96" s="1" t="s">
        <v>34</v>
      </c>
      <c r="G96">
        <v>240000</v>
      </c>
      <c r="H96" s="1">
        <v>1</v>
      </c>
      <c r="I96" s="1" t="s">
        <v>39</v>
      </c>
      <c r="J96" s="1" t="s">
        <v>29</v>
      </c>
      <c r="K96">
        <v>240000</v>
      </c>
    </row>
    <row r="97" spans="1:11" x14ac:dyDescent="0.2">
      <c r="A97" s="2" t="s">
        <v>134</v>
      </c>
      <c r="B97" s="3">
        <v>45701</v>
      </c>
      <c r="C97" s="10" t="s">
        <v>15</v>
      </c>
      <c r="D97" s="10" t="s">
        <v>16</v>
      </c>
      <c r="E97" s="1" t="s">
        <v>31</v>
      </c>
      <c r="F97" s="1" t="s">
        <v>34</v>
      </c>
      <c r="G97">
        <v>225000</v>
      </c>
      <c r="H97" s="1">
        <v>2</v>
      </c>
      <c r="I97" s="1" t="s">
        <v>28</v>
      </c>
      <c r="J97" s="1" t="s">
        <v>37</v>
      </c>
      <c r="K97">
        <v>450000</v>
      </c>
    </row>
    <row r="98" spans="1:11" x14ac:dyDescent="0.2">
      <c r="A98" s="2" t="s">
        <v>135</v>
      </c>
      <c r="B98" s="3">
        <v>45778</v>
      </c>
      <c r="C98" s="10" t="s">
        <v>11</v>
      </c>
      <c r="D98" s="10" t="s">
        <v>12</v>
      </c>
      <c r="E98" s="1" t="s">
        <v>31</v>
      </c>
      <c r="F98" s="1" t="s">
        <v>32</v>
      </c>
      <c r="G98">
        <v>350000</v>
      </c>
      <c r="H98" s="1">
        <v>2</v>
      </c>
      <c r="I98" s="1" t="s">
        <v>39</v>
      </c>
      <c r="J98" s="1" t="s">
        <v>37</v>
      </c>
      <c r="K98">
        <v>700000</v>
      </c>
    </row>
    <row r="99" spans="1:11" x14ac:dyDescent="0.2">
      <c r="A99" s="2" t="s">
        <v>136</v>
      </c>
      <c r="B99" s="3">
        <v>45792</v>
      </c>
      <c r="C99" s="10" t="s">
        <v>17</v>
      </c>
      <c r="D99" s="10" t="s">
        <v>18</v>
      </c>
      <c r="E99" s="1" t="s">
        <v>47</v>
      </c>
      <c r="F99" s="1" t="s">
        <v>41</v>
      </c>
      <c r="G99">
        <v>300000</v>
      </c>
      <c r="H99" s="1">
        <v>3</v>
      </c>
      <c r="I99" s="1" t="s">
        <v>39</v>
      </c>
      <c r="J99" s="1" t="s">
        <v>29</v>
      </c>
      <c r="K99">
        <v>900000</v>
      </c>
    </row>
    <row r="100" spans="1:11" x14ac:dyDescent="0.2">
      <c r="A100" s="2" t="s">
        <v>137</v>
      </c>
      <c r="B100" s="3">
        <v>45698</v>
      </c>
      <c r="C100" s="10" t="s">
        <v>11</v>
      </c>
      <c r="D100" s="10" t="s">
        <v>12</v>
      </c>
      <c r="E100" s="1" t="s">
        <v>36</v>
      </c>
      <c r="F100" s="1" t="s">
        <v>34</v>
      </c>
      <c r="G100">
        <v>350000</v>
      </c>
      <c r="H100" s="1">
        <v>1</v>
      </c>
      <c r="I100" s="1" t="s">
        <v>39</v>
      </c>
      <c r="J100" s="1" t="s">
        <v>37</v>
      </c>
      <c r="K100">
        <v>350000</v>
      </c>
    </row>
    <row r="101" spans="1:11" x14ac:dyDescent="0.2">
      <c r="A101" s="2" t="s">
        <v>138</v>
      </c>
      <c r="B101" s="3">
        <v>45688</v>
      </c>
      <c r="C101" s="10" t="s">
        <v>23</v>
      </c>
      <c r="D101" s="10" t="s">
        <v>12</v>
      </c>
      <c r="E101" s="1" t="s">
        <v>26</v>
      </c>
      <c r="F101" s="1" t="s">
        <v>34</v>
      </c>
      <c r="G101">
        <v>375000</v>
      </c>
      <c r="H101" s="1">
        <v>3</v>
      </c>
      <c r="I101" s="1" t="s">
        <v>28</v>
      </c>
      <c r="J101" s="1" t="s">
        <v>37</v>
      </c>
      <c r="K101">
        <v>1125000</v>
      </c>
    </row>
    <row r="102" spans="1:11" x14ac:dyDescent="0.2">
      <c r="A102" s="2" t="s">
        <v>139</v>
      </c>
      <c r="B102" s="3">
        <v>45698</v>
      </c>
      <c r="C102" s="10" t="s">
        <v>17</v>
      </c>
      <c r="D102" s="10" t="s">
        <v>18</v>
      </c>
      <c r="E102" s="1" t="s">
        <v>47</v>
      </c>
      <c r="F102" s="1" t="s">
        <v>32</v>
      </c>
      <c r="G102">
        <v>300000</v>
      </c>
      <c r="H102" s="1">
        <v>1</v>
      </c>
      <c r="I102" s="1" t="s">
        <v>39</v>
      </c>
      <c r="J102" s="1" t="s">
        <v>29</v>
      </c>
      <c r="K102">
        <v>300000</v>
      </c>
    </row>
    <row r="103" spans="1:11" x14ac:dyDescent="0.2">
      <c r="A103" s="2" t="s">
        <v>140</v>
      </c>
      <c r="B103" s="3">
        <v>45684</v>
      </c>
      <c r="C103" s="10" t="s">
        <v>15</v>
      </c>
      <c r="D103" s="10" t="s">
        <v>16</v>
      </c>
      <c r="E103" s="1" t="s">
        <v>36</v>
      </c>
      <c r="F103" s="1" t="s">
        <v>34</v>
      </c>
      <c r="G103">
        <v>225000</v>
      </c>
      <c r="H103" s="1">
        <v>2</v>
      </c>
      <c r="I103" s="1" t="s">
        <v>28</v>
      </c>
      <c r="J103" s="1" t="s">
        <v>29</v>
      </c>
      <c r="K103">
        <v>450000</v>
      </c>
    </row>
    <row r="104" spans="1:11" x14ac:dyDescent="0.2">
      <c r="A104" s="2" t="s">
        <v>141</v>
      </c>
      <c r="B104" s="3">
        <v>45732</v>
      </c>
      <c r="C104" s="10" t="s">
        <v>24</v>
      </c>
      <c r="D104" s="10" t="s">
        <v>16</v>
      </c>
      <c r="E104" s="1" t="s">
        <v>36</v>
      </c>
      <c r="F104" s="1" t="s">
        <v>32</v>
      </c>
      <c r="G104">
        <v>240000</v>
      </c>
      <c r="H104" s="1">
        <v>2</v>
      </c>
      <c r="I104" s="1" t="s">
        <v>28</v>
      </c>
      <c r="J104" s="1" t="s">
        <v>37</v>
      </c>
      <c r="K104">
        <v>480000</v>
      </c>
    </row>
    <row r="105" spans="1:11" x14ac:dyDescent="0.2">
      <c r="A105" s="2" t="s">
        <v>142</v>
      </c>
      <c r="B105" s="3">
        <v>45802</v>
      </c>
      <c r="C105" s="10" t="s">
        <v>11</v>
      </c>
      <c r="D105" s="10" t="s">
        <v>12</v>
      </c>
      <c r="E105" s="1" t="s">
        <v>26</v>
      </c>
      <c r="F105" s="1" t="s">
        <v>45</v>
      </c>
      <c r="G105">
        <v>350000</v>
      </c>
      <c r="H105" s="1">
        <v>1</v>
      </c>
      <c r="I105" s="1" t="s">
        <v>28</v>
      </c>
      <c r="J105" s="1" t="s">
        <v>29</v>
      </c>
      <c r="K105">
        <v>350000</v>
      </c>
    </row>
    <row r="106" spans="1:11" x14ac:dyDescent="0.2">
      <c r="A106" s="2" t="s">
        <v>143</v>
      </c>
      <c r="B106" s="3">
        <v>45829</v>
      </c>
      <c r="C106" s="10" t="s">
        <v>23</v>
      </c>
      <c r="D106" s="10" t="s">
        <v>12</v>
      </c>
      <c r="E106" s="1" t="s">
        <v>36</v>
      </c>
      <c r="F106" s="1" t="s">
        <v>60</v>
      </c>
      <c r="G106">
        <v>375000</v>
      </c>
      <c r="H106" s="1">
        <v>2</v>
      </c>
      <c r="I106" s="1" t="s">
        <v>39</v>
      </c>
      <c r="J106" s="1" t="s">
        <v>29</v>
      </c>
      <c r="K106">
        <v>750000</v>
      </c>
    </row>
    <row r="107" spans="1:11" x14ac:dyDescent="0.2">
      <c r="A107" s="2" t="s">
        <v>144</v>
      </c>
      <c r="B107" s="3">
        <v>45784</v>
      </c>
      <c r="C107" s="10" t="s">
        <v>23</v>
      </c>
      <c r="D107" s="10" t="s">
        <v>12</v>
      </c>
      <c r="E107" s="1" t="s">
        <v>36</v>
      </c>
      <c r="F107" s="1" t="s">
        <v>41</v>
      </c>
      <c r="G107">
        <v>375000</v>
      </c>
      <c r="H107" s="1">
        <v>3</v>
      </c>
      <c r="I107" s="1" t="s">
        <v>28</v>
      </c>
      <c r="J107" s="1" t="s">
        <v>29</v>
      </c>
      <c r="K107">
        <v>1125000</v>
      </c>
    </row>
    <row r="108" spans="1:11" x14ac:dyDescent="0.2">
      <c r="A108" s="2" t="s">
        <v>145</v>
      </c>
      <c r="B108" s="3">
        <v>45747</v>
      </c>
      <c r="C108" s="10" t="s">
        <v>24</v>
      </c>
      <c r="D108" s="10" t="s">
        <v>16</v>
      </c>
      <c r="E108" s="1" t="s">
        <v>26</v>
      </c>
      <c r="F108" s="1" t="s">
        <v>60</v>
      </c>
      <c r="G108">
        <v>240000</v>
      </c>
      <c r="H108" s="1">
        <v>1</v>
      </c>
      <c r="I108" s="1" t="s">
        <v>39</v>
      </c>
      <c r="J108" s="1" t="s">
        <v>37</v>
      </c>
      <c r="K108">
        <v>240000</v>
      </c>
    </row>
    <row r="109" spans="1:11" x14ac:dyDescent="0.2">
      <c r="A109" s="2" t="s">
        <v>146</v>
      </c>
      <c r="B109" s="3">
        <v>45806</v>
      </c>
      <c r="C109" s="10" t="s">
        <v>13</v>
      </c>
      <c r="D109" s="10" t="s">
        <v>14</v>
      </c>
      <c r="E109" s="1" t="s">
        <v>36</v>
      </c>
      <c r="F109" s="1" t="s">
        <v>41</v>
      </c>
      <c r="G109">
        <v>275000</v>
      </c>
      <c r="H109" s="1">
        <v>1</v>
      </c>
      <c r="I109" s="1" t="s">
        <v>28</v>
      </c>
      <c r="J109" s="1" t="s">
        <v>29</v>
      </c>
      <c r="K109">
        <v>275000</v>
      </c>
    </row>
    <row r="110" spans="1:11" x14ac:dyDescent="0.2">
      <c r="A110" s="2" t="s">
        <v>147</v>
      </c>
      <c r="B110" s="3">
        <v>45692</v>
      </c>
      <c r="C110" s="10" t="s">
        <v>17</v>
      </c>
      <c r="D110" s="10" t="s">
        <v>18</v>
      </c>
      <c r="E110" s="1" t="s">
        <v>36</v>
      </c>
      <c r="F110" s="1" t="s">
        <v>45</v>
      </c>
      <c r="G110">
        <v>300000</v>
      </c>
      <c r="H110" s="1">
        <v>2</v>
      </c>
      <c r="I110" s="1" t="s">
        <v>28</v>
      </c>
      <c r="J110" s="1" t="s">
        <v>37</v>
      </c>
      <c r="K110">
        <v>600000</v>
      </c>
    </row>
    <row r="111" spans="1:11" x14ac:dyDescent="0.2">
      <c r="A111" s="2" t="s">
        <v>148</v>
      </c>
      <c r="B111" s="3">
        <v>45679</v>
      </c>
      <c r="C111" s="10" t="s">
        <v>19</v>
      </c>
      <c r="D111" s="10" t="s">
        <v>20</v>
      </c>
      <c r="E111" s="1" t="s">
        <v>47</v>
      </c>
      <c r="F111" s="1" t="s">
        <v>34</v>
      </c>
      <c r="G111">
        <v>250000</v>
      </c>
      <c r="H111" s="1">
        <v>2</v>
      </c>
      <c r="I111" s="1" t="s">
        <v>39</v>
      </c>
      <c r="J111" s="1" t="s">
        <v>29</v>
      </c>
      <c r="K111">
        <v>500000</v>
      </c>
    </row>
    <row r="112" spans="1:11" x14ac:dyDescent="0.2">
      <c r="A112" s="2" t="s">
        <v>149</v>
      </c>
      <c r="B112" s="3">
        <v>45737</v>
      </c>
      <c r="C112" s="10" t="s">
        <v>15</v>
      </c>
      <c r="D112" s="10" t="s">
        <v>16</v>
      </c>
      <c r="E112" s="1" t="s">
        <v>47</v>
      </c>
      <c r="F112" s="1" t="s">
        <v>34</v>
      </c>
      <c r="G112">
        <v>225000</v>
      </c>
      <c r="H112" s="1">
        <v>1</v>
      </c>
      <c r="I112" s="1" t="s">
        <v>28</v>
      </c>
      <c r="J112" s="1" t="s">
        <v>29</v>
      </c>
      <c r="K112">
        <v>225000</v>
      </c>
    </row>
    <row r="113" spans="1:11" x14ac:dyDescent="0.2">
      <c r="A113" s="2" t="s">
        <v>150</v>
      </c>
      <c r="B113" s="3">
        <v>45710</v>
      </c>
      <c r="C113" s="10" t="s">
        <v>21</v>
      </c>
      <c r="D113" s="10" t="s">
        <v>22</v>
      </c>
      <c r="E113" s="1" t="s">
        <v>26</v>
      </c>
      <c r="F113" s="1" t="s">
        <v>41</v>
      </c>
      <c r="G113">
        <v>75000</v>
      </c>
      <c r="H113" s="1">
        <v>1</v>
      </c>
      <c r="I113" s="1" t="s">
        <v>39</v>
      </c>
      <c r="J113" s="1" t="s">
        <v>37</v>
      </c>
      <c r="K113">
        <v>75000</v>
      </c>
    </row>
    <row r="114" spans="1:11" x14ac:dyDescent="0.2">
      <c r="A114" s="2" t="s">
        <v>151</v>
      </c>
      <c r="B114" s="3">
        <v>45710</v>
      </c>
      <c r="C114" s="10" t="s">
        <v>11</v>
      </c>
      <c r="D114" s="10" t="s">
        <v>12</v>
      </c>
      <c r="E114" s="1" t="s">
        <v>31</v>
      </c>
      <c r="F114" s="1" t="s">
        <v>60</v>
      </c>
      <c r="G114">
        <v>350000</v>
      </c>
      <c r="H114" s="1">
        <v>3</v>
      </c>
      <c r="I114" s="1" t="s">
        <v>28</v>
      </c>
      <c r="J114" s="1" t="s">
        <v>29</v>
      </c>
      <c r="K114">
        <v>1050000</v>
      </c>
    </row>
    <row r="115" spans="1:11" x14ac:dyDescent="0.2">
      <c r="A115" s="2" t="s">
        <v>152</v>
      </c>
      <c r="B115" s="3">
        <v>45837</v>
      </c>
      <c r="C115" s="10" t="s">
        <v>15</v>
      </c>
      <c r="D115" s="10" t="s">
        <v>16</v>
      </c>
      <c r="E115" s="1" t="s">
        <v>26</v>
      </c>
      <c r="F115" s="1" t="s">
        <v>41</v>
      </c>
      <c r="G115">
        <v>225000</v>
      </c>
      <c r="H115" s="1">
        <v>1</v>
      </c>
      <c r="I115" s="1" t="s">
        <v>39</v>
      </c>
      <c r="J115" s="1" t="s">
        <v>29</v>
      </c>
      <c r="K115">
        <v>225000</v>
      </c>
    </row>
    <row r="116" spans="1:11" x14ac:dyDescent="0.2">
      <c r="A116" s="2" t="s">
        <v>153</v>
      </c>
      <c r="B116" s="3">
        <v>45695</v>
      </c>
      <c r="C116" s="10" t="s">
        <v>17</v>
      </c>
      <c r="D116" s="10" t="s">
        <v>18</v>
      </c>
      <c r="E116" s="1" t="s">
        <v>26</v>
      </c>
      <c r="F116" s="1" t="s">
        <v>32</v>
      </c>
      <c r="G116">
        <v>300000</v>
      </c>
      <c r="H116" s="1">
        <v>1</v>
      </c>
      <c r="I116" s="1" t="s">
        <v>39</v>
      </c>
      <c r="J116" s="1" t="s">
        <v>37</v>
      </c>
      <c r="K116">
        <v>300000</v>
      </c>
    </row>
    <row r="117" spans="1:11" x14ac:dyDescent="0.2">
      <c r="A117" s="2" t="s">
        <v>154</v>
      </c>
      <c r="B117" s="3">
        <v>45707</v>
      </c>
      <c r="C117" s="10" t="s">
        <v>13</v>
      </c>
      <c r="D117" s="10" t="s">
        <v>14</v>
      </c>
      <c r="E117" s="1" t="s">
        <v>31</v>
      </c>
      <c r="F117" s="1" t="s">
        <v>45</v>
      </c>
      <c r="G117">
        <v>275000</v>
      </c>
      <c r="H117" s="1">
        <v>2</v>
      </c>
      <c r="I117" s="1" t="s">
        <v>39</v>
      </c>
      <c r="J117" s="1" t="s">
        <v>29</v>
      </c>
      <c r="K117">
        <v>550000</v>
      </c>
    </row>
    <row r="118" spans="1:11" x14ac:dyDescent="0.2">
      <c r="A118" s="2" t="s">
        <v>155</v>
      </c>
      <c r="B118" s="3">
        <v>45729</v>
      </c>
      <c r="C118" s="10" t="s">
        <v>23</v>
      </c>
      <c r="D118" s="10" t="s">
        <v>12</v>
      </c>
      <c r="E118" s="1" t="s">
        <v>47</v>
      </c>
      <c r="F118" s="1" t="s">
        <v>45</v>
      </c>
      <c r="G118">
        <v>375000</v>
      </c>
      <c r="H118" s="1">
        <v>1</v>
      </c>
      <c r="I118" s="1" t="s">
        <v>28</v>
      </c>
      <c r="J118" s="1" t="s">
        <v>37</v>
      </c>
      <c r="K118">
        <v>375000</v>
      </c>
    </row>
    <row r="119" spans="1:11" x14ac:dyDescent="0.2">
      <c r="A119" s="2" t="s">
        <v>156</v>
      </c>
      <c r="B119" s="3">
        <v>45690</v>
      </c>
      <c r="C119" s="10" t="s">
        <v>17</v>
      </c>
      <c r="D119" s="10" t="s">
        <v>18</v>
      </c>
      <c r="E119" s="1" t="s">
        <v>47</v>
      </c>
      <c r="F119" s="1" t="s">
        <v>32</v>
      </c>
      <c r="G119">
        <v>300000</v>
      </c>
      <c r="H119" s="1">
        <v>2</v>
      </c>
      <c r="I119" s="1" t="s">
        <v>39</v>
      </c>
      <c r="J119" s="1" t="s">
        <v>29</v>
      </c>
      <c r="K119">
        <v>600000</v>
      </c>
    </row>
    <row r="120" spans="1:11" x14ac:dyDescent="0.2">
      <c r="A120" s="2" t="s">
        <v>157</v>
      </c>
      <c r="B120" s="3">
        <v>45713</v>
      </c>
      <c r="C120" s="10" t="s">
        <v>21</v>
      </c>
      <c r="D120" s="10" t="s">
        <v>22</v>
      </c>
      <c r="E120" s="1" t="s">
        <v>36</v>
      </c>
      <c r="F120" s="1" t="s">
        <v>41</v>
      </c>
      <c r="G120">
        <v>75000</v>
      </c>
      <c r="H120" s="1">
        <v>2</v>
      </c>
      <c r="I120" s="1" t="s">
        <v>39</v>
      </c>
      <c r="J120" s="1" t="s">
        <v>29</v>
      </c>
      <c r="K120">
        <v>150000</v>
      </c>
    </row>
    <row r="121" spans="1:11" x14ac:dyDescent="0.2">
      <c r="A121" s="2" t="s">
        <v>158</v>
      </c>
      <c r="B121" s="3">
        <v>45659</v>
      </c>
      <c r="C121" s="10" t="s">
        <v>11</v>
      </c>
      <c r="D121" s="10" t="s">
        <v>12</v>
      </c>
      <c r="E121" s="1" t="s">
        <v>36</v>
      </c>
      <c r="F121" s="1" t="s">
        <v>41</v>
      </c>
      <c r="G121">
        <v>350000</v>
      </c>
      <c r="H121" s="1">
        <v>1</v>
      </c>
      <c r="I121" s="1" t="s">
        <v>28</v>
      </c>
      <c r="J121" s="1" t="s">
        <v>37</v>
      </c>
      <c r="K121">
        <v>350000</v>
      </c>
    </row>
    <row r="122" spans="1:11" x14ac:dyDescent="0.2">
      <c r="A122" s="2" t="s">
        <v>159</v>
      </c>
      <c r="B122" s="3">
        <v>45776</v>
      </c>
      <c r="C122" s="10" t="s">
        <v>21</v>
      </c>
      <c r="D122" s="10" t="s">
        <v>22</v>
      </c>
      <c r="E122" s="1" t="s">
        <v>47</v>
      </c>
      <c r="F122" s="1" t="s">
        <v>27</v>
      </c>
      <c r="G122">
        <v>75000</v>
      </c>
      <c r="H122" s="1">
        <v>3</v>
      </c>
      <c r="I122" s="1" t="s">
        <v>39</v>
      </c>
      <c r="J122" s="1" t="s">
        <v>29</v>
      </c>
      <c r="K122">
        <v>225000</v>
      </c>
    </row>
    <row r="123" spans="1:11" x14ac:dyDescent="0.2">
      <c r="A123" s="2" t="s">
        <v>160</v>
      </c>
      <c r="B123" s="3">
        <v>45795</v>
      </c>
      <c r="C123" s="10" t="s">
        <v>24</v>
      </c>
      <c r="D123" s="10" t="s">
        <v>16</v>
      </c>
      <c r="E123" s="1" t="s">
        <v>31</v>
      </c>
      <c r="F123" s="1" t="s">
        <v>60</v>
      </c>
      <c r="G123">
        <v>240000</v>
      </c>
      <c r="H123" s="1">
        <v>1</v>
      </c>
      <c r="I123" s="1" t="s">
        <v>39</v>
      </c>
      <c r="J123" s="1" t="s">
        <v>37</v>
      </c>
      <c r="K123">
        <v>240000</v>
      </c>
    </row>
    <row r="124" spans="1:11" x14ac:dyDescent="0.2">
      <c r="A124" s="2" t="s">
        <v>161</v>
      </c>
      <c r="B124" s="3">
        <v>45823</v>
      </c>
      <c r="C124" s="10" t="s">
        <v>17</v>
      </c>
      <c r="D124" s="10" t="s">
        <v>18</v>
      </c>
      <c r="E124" s="1" t="s">
        <v>36</v>
      </c>
      <c r="F124" s="1" t="s">
        <v>45</v>
      </c>
      <c r="G124">
        <v>300000</v>
      </c>
      <c r="H124" s="1">
        <v>2</v>
      </c>
      <c r="I124" s="1" t="s">
        <v>39</v>
      </c>
      <c r="J124" s="1" t="s">
        <v>37</v>
      </c>
      <c r="K124">
        <v>600000</v>
      </c>
    </row>
    <row r="125" spans="1:11" x14ac:dyDescent="0.2">
      <c r="A125" s="2" t="s">
        <v>162</v>
      </c>
      <c r="B125" s="3">
        <v>45824</v>
      </c>
      <c r="C125" s="10" t="s">
        <v>21</v>
      </c>
      <c r="D125" s="10" t="s">
        <v>22</v>
      </c>
      <c r="E125" s="1" t="s">
        <v>36</v>
      </c>
      <c r="F125" s="1" t="s">
        <v>34</v>
      </c>
      <c r="G125">
        <v>75000</v>
      </c>
      <c r="H125" s="1">
        <v>2</v>
      </c>
      <c r="I125" s="1" t="s">
        <v>28</v>
      </c>
      <c r="J125" s="1" t="s">
        <v>29</v>
      </c>
      <c r="K125">
        <v>150000</v>
      </c>
    </row>
    <row r="126" spans="1:11" x14ac:dyDescent="0.2">
      <c r="A126" s="2" t="s">
        <v>163</v>
      </c>
      <c r="B126" s="3">
        <v>45669</v>
      </c>
      <c r="C126" s="10" t="s">
        <v>24</v>
      </c>
      <c r="D126" s="10" t="s">
        <v>16</v>
      </c>
      <c r="E126" s="1" t="s">
        <v>47</v>
      </c>
      <c r="F126" s="1" t="s">
        <v>32</v>
      </c>
      <c r="G126">
        <v>240000</v>
      </c>
      <c r="H126" s="1">
        <v>2</v>
      </c>
      <c r="I126" s="1" t="s">
        <v>39</v>
      </c>
      <c r="J126" s="1" t="s">
        <v>37</v>
      </c>
      <c r="K126">
        <v>480000</v>
      </c>
    </row>
    <row r="127" spans="1:11" x14ac:dyDescent="0.2">
      <c r="A127" s="2" t="s">
        <v>164</v>
      </c>
      <c r="B127" s="3">
        <v>45706</v>
      </c>
      <c r="C127" s="10" t="s">
        <v>13</v>
      </c>
      <c r="D127" s="10" t="s">
        <v>14</v>
      </c>
      <c r="E127" s="1" t="s">
        <v>36</v>
      </c>
      <c r="F127" s="1" t="s">
        <v>41</v>
      </c>
      <c r="G127">
        <v>275000</v>
      </c>
      <c r="H127" s="1">
        <v>2</v>
      </c>
      <c r="I127" s="1" t="s">
        <v>28</v>
      </c>
      <c r="J127" s="1" t="s">
        <v>29</v>
      </c>
      <c r="K127">
        <v>550000</v>
      </c>
    </row>
    <row r="128" spans="1:11" x14ac:dyDescent="0.2">
      <c r="A128" s="2" t="s">
        <v>165</v>
      </c>
      <c r="B128" s="3">
        <v>45774</v>
      </c>
      <c r="C128" s="10" t="s">
        <v>21</v>
      </c>
      <c r="D128" s="10" t="s">
        <v>22</v>
      </c>
      <c r="E128" s="1" t="s">
        <v>31</v>
      </c>
      <c r="F128" s="1" t="s">
        <v>41</v>
      </c>
      <c r="G128">
        <v>75000</v>
      </c>
      <c r="H128" s="1">
        <v>3</v>
      </c>
      <c r="I128" s="1" t="s">
        <v>39</v>
      </c>
      <c r="J128" s="1" t="s">
        <v>29</v>
      </c>
      <c r="K128">
        <v>225000</v>
      </c>
    </row>
    <row r="129" spans="1:11" x14ac:dyDescent="0.2">
      <c r="A129" s="2" t="s">
        <v>166</v>
      </c>
      <c r="B129" s="3">
        <v>45681</v>
      </c>
      <c r="C129" s="10" t="s">
        <v>23</v>
      </c>
      <c r="D129" s="10" t="s">
        <v>12</v>
      </c>
      <c r="E129" s="1" t="s">
        <v>47</v>
      </c>
      <c r="F129" s="1" t="s">
        <v>41</v>
      </c>
      <c r="G129">
        <v>375000</v>
      </c>
      <c r="H129" s="1">
        <v>1</v>
      </c>
      <c r="I129" s="1" t="s">
        <v>28</v>
      </c>
      <c r="J129" s="1" t="s">
        <v>29</v>
      </c>
      <c r="K129">
        <v>375000</v>
      </c>
    </row>
    <row r="130" spans="1:11" x14ac:dyDescent="0.2">
      <c r="A130" s="2" t="s">
        <v>167</v>
      </c>
      <c r="B130" s="3">
        <v>45742</v>
      </c>
      <c r="C130" s="10" t="s">
        <v>17</v>
      </c>
      <c r="D130" s="10" t="s">
        <v>18</v>
      </c>
      <c r="E130" s="1" t="s">
        <v>36</v>
      </c>
      <c r="F130" s="1" t="s">
        <v>41</v>
      </c>
      <c r="G130">
        <v>300000</v>
      </c>
      <c r="H130" s="1">
        <v>3</v>
      </c>
      <c r="I130" s="1" t="s">
        <v>28</v>
      </c>
      <c r="J130" s="1" t="s">
        <v>29</v>
      </c>
      <c r="K130">
        <v>900000</v>
      </c>
    </row>
    <row r="131" spans="1:11" x14ac:dyDescent="0.2">
      <c r="A131" s="2" t="s">
        <v>168</v>
      </c>
      <c r="B131" s="3">
        <v>45680</v>
      </c>
      <c r="C131" s="10" t="s">
        <v>11</v>
      </c>
      <c r="D131" s="10" t="s">
        <v>12</v>
      </c>
      <c r="E131" s="1" t="s">
        <v>36</v>
      </c>
      <c r="F131" s="1" t="s">
        <v>60</v>
      </c>
      <c r="G131">
        <v>350000</v>
      </c>
      <c r="H131" s="1">
        <v>2</v>
      </c>
      <c r="I131" s="1" t="s">
        <v>39</v>
      </c>
      <c r="J131" s="1" t="s">
        <v>37</v>
      </c>
      <c r="K131">
        <v>700000</v>
      </c>
    </row>
    <row r="132" spans="1:11" x14ac:dyDescent="0.2">
      <c r="A132" s="2" t="s">
        <v>169</v>
      </c>
      <c r="B132" s="3">
        <v>45790</v>
      </c>
      <c r="C132" s="10" t="s">
        <v>21</v>
      </c>
      <c r="D132" s="10" t="s">
        <v>22</v>
      </c>
      <c r="E132" s="1" t="s">
        <v>31</v>
      </c>
      <c r="F132" s="1" t="s">
        <v>45</v>
      </c>
      <c r="G132">
        <v>75000</v>
      </c>
      <c r="H132" s="1">
        <v>1</v>
      </c>
      <c r="I132" s="1" t="s">
        <v>28</v>
      </c>
      <c r="J132" s="1" t="s">
        <v>29</v>
      </c>
      <c r="K132">
        <v>75000</v>
      </c>
    </row>
    <row r="133" spans="1:11" x14ac:dyDescent="0.2">
      <c r="A133" s="2" t="s">
        <v>170</v>
      </c>
      <c r="B133" s="3">
        <v>45773</v>
      </c>
      <c r="C133" s="10" t="s">
        <v>11</v>
      </c>
      <c r="D133" s="10" t="s">
        <v>12</v>
      </c>
      <c r="E133" s="1" t="s">
        <v>26</v>
      </c>
      <c r="F133" s="1" t="s">
        <v>32</v>
      </c>
      <c r="G133">
        <v>350000</v>
      </c>
      <c r="H133" s="1">
        <v>3</v>
      </c>
      <c r="I133" s="1" t="s">
        <v>28</v>
      </c>
      <c r="J133" s="1" t="s">
        <v>29</v>
      </c>
      <c r="K133">
        <v>1050000</v>
      </c>
    </row>
    <row r="134" spans="1:11" x14ac:dyDescent="0.2">
      <c r="A134" s="2" t="s">
        <v>171</v>
      </c>
      <c r="B134" s="3">
        <v>45749</v>
      </c>
      <c r="C134" s="10" t="s">
        <v>17</v>
      </c>
      <c r="D134" s="10" t="s">
        <v>18</v>
      </c>
      <c r="E134" s="1" t="s">
        <v>36</v>
      </c>
      <c r="F134" s="1" t="s">
        <v>60</v>
      </c>
      <c r="G134">
        <v>300000</v>
      </c>
      <c r="H134" s="1">
        <v>3</v>
      </c>
      <c r="I134" s="1" t="s">
        <v>39</v>
      </c>
      <c r="J134" s="1" t="s">
        <v>29</v>
      </c>
      <c r="K134">
        <v>900000</v>
      </c>
    </row>
    <row r="135" spans="1:11" x14ac:dyDescent="0.2">
      <c r="A135" s="2" t="s">
        <v>172</v>
      </c>
      <c r="B135" s="3">
        <v>45789</v>
      </c>
      <c r="C135" s="10" t="s">
        <v>21</v>
      </c>
      <c r="D135" s="10" t="s">
        <v>22</v>
      </c>
      <c r="E135" s="1" t="s">
        <v>36</v>
      </c>
      <c r="F135" s="1" t="s">
        <v>32</v>
      </c>
      <c r="G135">
        <v>75000</v>
      </c>
      <c r="H135" s="1">
        <v>2</v>
      </c>
      <c r="I135" s="1" t="s">
        <v>28</v>
      </c>
      <c r="J135" s="1" t="s">
        <v>29</v>
      </c>
      <c r="K135">
        <v>150000</v>
      </c>
    </row>
    <row r="136" spans="1:11" x14ac:dyDescent="0.2">
      <c r="A136" s="2" t="s">
        <v>173</v>
      </c>
      <c r="B136" s="3">
        <v>45686</v>
      </c>
      <c r="C136" s="10" t="s">
        <v>13</v>
      </c>
      <c r="D136" s="10" t="s">
        <v>14</v>
      </c>
      <c r="E136" s="1" t="s">
        <v>36</v>
      </c>
      <c r="F136" s="1" t="s">
        <v>45</v>
      </c>
      <c r="G136">
        <v>275000</v>
      </c>
      <c r="H136" s="1">
        <v>2</v>
      </c>
      <c r="I136" s="1" t="s">
        <v>28</v>
      </c>
      <c r="J136" s="1" t="s">
        <v>37</v>
      </c>
      <c r="K136">
        <v>550000</v>
      </c>
    </row>
    <row r="137" spans="1:11" x14ac:dyDescent="0.2">
      <c r="A137" s="2" t="s">
        <v>174</v>
      </c>
      <c r="B137" s="3">
        <v>45748</v>
      </c>
      <c r="C137" s="10" t="s">
        <v>13</v>
      </c>
      <c r="D137" s="10" t="s">
        <v>14</v>
      </c>
      <c r="E137" s="1" t="s">
        <v>36</v>
      </c>
      <c r="F137" s="1" t="s">
        <v>32</v>
      </c>
      <c r="G137">
        <v>275000</v>
      </c>
      <c r="H137" s="1">
        <v>3</v>
      </c>
      <c r="I137" s="1" t="s">
        <v>28</v>
      </c>
      <c r="J137" s="1" t="s">
        <v>37</v>
      </c>
      <c r="K137">
        <v>825000</v>
      </c>
    </row>
    <row r="138" spans="1:11" x14ac:dyDescent="0.2">
      <c r="A138" s="2" t="s">
        <v>175</v>
      </c>
      <c r="B138" s="3">
        <v>45683</v>
      </c>
      <c r="C138" s="10" t="s">
        <v>23</v>
      </c>
      <c r="D138" s="10" t="s">
        <v>12</v>
      </c>
      <c r="E138" s="1" t="s">
        <v>31</v>
      </c>
      <c r="F138" s="1" t="s">
        <v>27</v>
      </c>
      <c r="G138">
        <v>375000</v>
      </c>
      <c r="H138" s="1">
        <v>3</v>
      </c>
      <c r="I138" s="1" t="s">
        <v>28</v>
      </c>
      <c r="J138" s="1" t="s">
        <v>37</v>
      </c>
      <c r="K138">
        <v>1125000</v>
      </c>
    </row>
    <row r="139" spans="1:11" x14ac:dyDescent="0.2">
      <c r="A139" s="2" t="s">
        <v>176</v>
      </c>
      <c r="B139" s="3">
        <v>45768</v>
      </c>
      <c r="C139" s="10" t="s">
        <v>17</v>
      </c>
      <c r="D139" s="10" t="s">
        <v>18</v>
      </c>
      <c r="E139" s="1" t="s">
        <v>31</v>
      </c>
      <c r="F139" s="1" t="s">
        <v>45</v>
      </c>
      <c r="G139">
        <v>300000</v>
      </c>
      <c r="H139" s="1">
        <v>3</v>
      </c>
      <c r="I139" s="1" t="s">
        <v>39</v>
      </c>
      <c r="J139" s="1" t="s">
        <v>37</v>
      </c>
      <c r="K139">
        <v>900000</v>
      </c>
    </row>
    <row r="140" spans="1:11" x14ac:dyDescent="0.2">
      <c r="A140" s="2" t="s">
        <v>177</v>
      </c>
      <c r="B140" s="3">
        <v>45691</v>
      </c>
      <c r="C140" s="10" t="s">
        <v>21</v>
      </c>
      <c r="D140" s="10" t="s">
        <v>22</v>
      </c>
      <c r="E140" s="1" t="s">
        <v>31</v>
      </c>
      <c r="F140" s="1" t="s">
        <v>45</v>
      </c>
      <c r="G140">
        <v>75000</v>
      </c>
      <c r="H140" s="1">
        <v>2</v>
      </c>
      <c r="I140" s="1" t="s">
        <v>39</v>
      </c>
      <c r="J140" s="1" t="s">
        <v>29</v>
      </c>
      <c r="K140">
        <v>150000</v>
      </c>
    </row>
    <row r="141" spans="1:11" x14ac:dyDescent="0.2">
      <c r="A141" s="2" t="s">
        <v>178</v>
      </c>
      <c r="B141" s="3">
        <v>45801</v>
      </c>
      <c r="C141" s="10" t="s">
        <v>23</v>
      </c>
      <c r="D141" s="10" t="s">
        <v>12</v>
      </c>
      <c r="E141" s="1" t="s">
        <v>47</v>
      </c>
      <c r="F141" s="1" t="s">
        <v>45</v>
      </c>
      <c r="G141">
        <v>375000</v>
      </c>
      <c r="H141" s="1">
        <v>1</v>
      </c>
      <c r="I141" s="1" t="s">
        <v>28</v>
      </c>
      <c r="J141" s="1" t="s">
        <v>29</v>
      </c>
      <c r="K141">
        <v>375000</v>
      </c>
    </row>
    <row r="142" spans="1:11" x14ac:dyDescent="0.2">
      <c r="A142" s="2" t="s">
        <v>179</v>
      </c>
      <c r="B142" s="3">
        <v>45791</v>
      </c>
      <c r="C142" s="10" t="s">
        <v>11</v>
      </c>
      <c r="D142" s="10" t="s">
        <v>12</v>
      </c>
      <c r="E142" s="1" t="s">
        <v>36</v>
      </c>
      <c r="F142" s="1" t="s">
        <v>41</v>
      </c>
      <c r="G142">
        <v>350000</v>
      </c>
      <c r="H142" s="1">
        <v>1</v>
      </c>
      <c r="I142" s="1" t="s">
        <v>39</v>
      </c>
      <c r="J142" s="1" t="s">
        <v>37</v>
      </c>
      <c r="K142">
        <v>350000</v>
      </c>
    </row>
    <row r="143" spans="1:11" x14ac:dyDescent="0.2">
      <c r="A143" s="2" t="s">
        <v>180</v>
      </c>
      <c r="B143" s="3">
        <v>45731</v>
      </c>
      <c r="C143" s="10" t="s">
        <v>17</v>
      </c>
      <c r="D143" s="10" t="s">
        <v>18</v>
      </c>
      <c r="E143" s="1" t="s">
        <v>36</v>
      </c>
      <c r="F143" s="1" t="s">
        <v>32</v>
      </c>
      <c r="G143">
        <v>300000</v>
      </c>
      <c r="H143" s="1">
        <v>2</v>
      </c>
      <c r="I143" s="1" t="s">
        <v>28</v>
      </c>
      <c r="J143" s="1" t="s">
        <v>29</v>
      </c>
      <c r="K143">
        <v>600000</v>
      </c>
    </row>
    <row r="144" spans="1:11" x14ac:dyDescent="0.2">
      <c r="A144" s="2" t="s">
        <v>181</v>
      </c>
      <c r="B144" s="3">
        <v>45750</v>
      </c>
      <c r="C144" s="10" t="s">
        <v>13</v>
      </c>
      <c r="D144" s="10" t="s">
        <v>14</v>
      </c>
      <c r="E144" s="1" t="s">
        <v>31</v>
      </c>
      <c r="F144" s="1" t="s">
        <v>41</v>
      </c>
      <c r="G144">
        <v>275000</v>
      </c>
      <c r="H144" s="1">
        <v>3</v>
      </c>
      <c r="I144" s="1" t="s">
        <v>28</v>
      </c>
      <c r="J144" s="1" t="s">
        <v>37</v>
      </c>
      <c r="K144">
        <v>825000</v>
      </c>
    </row>
    <row r="145" spans="1:11" x14ac:dyDescent="0.2">
      <c r="A145" s="2" t="s">
        <v>182</v>
      </c>
      <c r="B145" s="3">
        <v>45828</v>
      </c>
      <c r="C145" s="10" t="s">
        <v>11</v>
      </c>
      <c r="D145" s="10" t="s">
        <v>12</v>
      </c>
      <c r="E145" s="1" t="s">
        <v>31</v>
      </c>
      <c r="F145" s="1" t="s">
        <v>34</v>
      </c>
      <c r="G145">
        <v>350000</v>
      </c>
      <c r="H145" s="1">
        <v>2</v>
      </c>
      <c r="I145" s="1" t="s">
        <v>39</v>
      </c>
      <c r="J145" s="1" t="s">
        <v>29</v>
      </c>
      <c r="K145">
        <v>700000</v>
      </c>
    </row>
    <row r="146" spans="1:11" x14ac:dyDescent="0.2">
      <c r="A146" s="2" t="s">
        <v>183</v>
      </c>
      <c r="B146" s="3">
        <v>45704</v>
      </c>
      <c r="C146" s="10" t="s">
        <v>17</v>
      </c>
      <c r="D146" s="10" t="s">
        <v>18</v>
      </c>
      <c r="E146" s="1" t="s">
        <v>26</v>
      </c>
      <c r="F146" s="1" t="s">
        <v>60</v>
      </c>
      <c r="G146">
        <v>300000</v>
      </c>
      <c r="H146" s="1">
        <v>1</v>
      </c>
      <c r="I146" s="1" t="s">
        <v>28</v>
      </c>
      <c r="J146" s="1" t="s">
        <v>29</v>
      </c>
      <c r="K146">
        <v>300000</v>
      </c>
    </row>
    <row r="147" spans="1:11" x14ac:dyDescent="0.2">
      <c r="A147" s="2" t="s">
        <v>184</v>
      </c>
      <c r="B147" s="3">
        <v>45782</v>
      </c>
      <c r="C147" s="10" t="s">
        <v>19</v>
      </c>
      <c r="D147" s="10" t="s">
        <v>20</v>
      </c>
      <c r="E147" s="1" t="s">
        <v>47</v>
      </c>
      <c r="F147" s="1" t="s">
        <v>32</v>
      </c>
      <c r="G147">
        <v>250000</v>
      </c>
      <c r="H147" s="1">
        <v>3</v>
      </c>
      <c r="I147" s="1" t="s">
        <v>28</v>
      </c>
      <c r="J147" s="1" t="s">
        <v>37</v>
      </c>
      <c r="K147">
        <v>750000</v>
      </c>
    </row>
    <row r="148" spans="1:11" x14ac:dyDescent="0.2">
      <c r="A148" s="2" t="s">
        <v>185</v>
      </c>
      <c r="B148" s="3">
        <v>45788</v>
      </c>
      <c r="C148" s="10" t="s">
        <v>11</v>
      </c>
      <c r="D148" s="10" t="s">
        <v>12</v>
      </c>
      <c r="E148" s="1" t="s">
        <v>36</v>
      </c>
      <c r="F148" s="1" t="s">
        <v>32</v>
      </c>
      <c r="G148">
        <v>350000</v>
      </c>
      <c r="H148" s="1">
        <v>1</v>
      </c>
      <c r="I148" s="1" t="s">
        <v>39</v>
      </c>
      <c r="J148" s="1" t="s">
        <v>37</v>
      </c>
      <c r="K148">
        <v>350000</v>
      </c>
    </row>
    <row r="149" spans="1:11" x14ac:dyDescent="0.2">
      <c r="A149" s="2" t="s">
        <v>186</v>
      </c>
      <c r="B149" s="3">
        <v>45677</v>
      </c>
      <c r="C149" s="10" t="s">
        <v>15</v>
      </c>
      <c r="D149" s="10" t="s">
        <v>16</v>
      </c>
      <c r="E149" s="1" t="s">
        <v>47</v>
      </c>
      <c r="F149" s="1" t="s">
        <v>45</v>
      </c>
      <c r="G149">
        <v>225000</v>
      </c>
      <c r="H149" s="1">
        <v>1</v>
      </c>
      <c r="I149" s="1" t="s">
        <v>28</v>
      </c>
      <c r="J149" s="1" t="s">
        <v>37</v>
      </c>
      <c r="K149">
        <v>225000</v>
      </c>
    </row>
    <row r="150" spans="1:11" x14ac:dyDescent="0.2">
      <c r="A150" s="2" t="s">
        <v>187</v>
      </c>
      <c r="B150" s="3">
        <v>45771</v>
      </c>
      <c r="C150" s="10" t="s">
        <v>23</v>
      </c>
      <c r="D150" s="10" t="s">
        <v>12</v>
      </c>
      <c r="E150" s="1" t="s">
        <v>47</v>
      </c>
      <c r="F150" s="1" t="s">
        <v>41</v>
      </c>
      <c r="G150">
        <v>375000</v>
      </c>
      <c r="H150" s="1">
        <v>2</v>
      </c>
      <c r="I150" s="1" t="s">
        <v>39</v>
      </c>
      <c r="J150" s="1" t="s">
        <v>29</v>
      </c>
      <c r="K150">
        <v>750000</v>
      </c>
    </row>
    <row r="151" spans="1:11" x14ac:dyDescent="0.2">
      <c r="A151" s="2" t="s">
        <v>188</v>
      </c>
      <c r="B151" s="3">
        <v>45817</v>
      </c>
      <c r="C151" s="10" t="s">
        <v>15</v>
      </c>
      <c r="D151" s="10" t="s">
        <v>16</v>
      </c>
      <c r="E151" s="1" t="s">
        <v>26</v>
      </c>
      <c r="F151" s="1" t="s">
        <v>32</v>
      </c>
      <c r="G151">
        <v>225000</v>
      </c>
      <c r="H151" s="1">
        <v>1</v>
      </c>
      <c r="I151" s="1" t="s">
        <v>28</v>
      </c>
      <c r="J151" s="1" t="s">
        <v>37</v>
      </c>
      <c r="K151">
        <v>225000</v>
      </c>
    </row>
    <row r="152" spans="1:11" x14ac:dyDescent="0.2">
      <c r="A152" s="2" t="s">
        <v>189</v>
      </c>
      <c r="B152" s="3">
        <v>45796</v>
      </c>
      <c r="C152" s="10" t="s">
        <v>11</v>
      </c>
      <c r="D152" s="10" t="s">
        <v>12</v>
      </c>
      <c r="E152" s="1" t="s">
        <v>26</v>
      </c>
      <c r="F152" s="1" t="s">
        <v>34</v>
      </c>
      <c r="G152">
        <v>350000</v>
      </c>
      <c r="H152" s="1">
        <v>2</v>
      </c>
      <c r="I152" s="1" t="s">
        <v>39</v>
      </c>
      <c r="J152" s="1" t="s">
        <v>37</v>
      </c>
      <c r="K152">
        <v>700000</v>
      </c>
    </row>
    <row r="153" spans="1:11" x14ac:dyDescent="0.2">
      <c r="A153" s="2" t="s">
        <v>190</v>
      </c>
      <c r="B153" s="3">
        <v>45784</v>
      </c>
      <c r="C153" s="10" t="s">
        <v>21</v>
      </c>
      <c r="D153" s="10" t="s">
        <v>22</v>
      </c>
      <c r="E153" s="1" t="s">
        <v>36</v>
      </c>
      <c r="F153" s="1" t="s">
        <v>60</v>
      </c>
      <c r="G153">
        <v>75000</v>
      </c>
      <c r="H153" s="1">
        <v>2</v>
      </c>
      <c r="I153" s="1" t="s">
        <v>28</v>
      </c>
      <c r="J153" s="1" t="s">
        <v>37</v>
      </c>
      <c r="K153">
        <v>150000</v>
      </c>
    </row>
    <row r="154" spans="1:11" x14ac:dyDescent="0.2">
      <c r="A154" s="2" t="s">
        <v>191</v>
      </c>
      <c r="B154" s="3">
        <v>45804</v>
      </c>
      <c r="C154" s="10" t="s">
        <v>23</v>
      </c>
      <c r="D154" s="10" t="s">
        <v>12</v>
      </c>
      <c r="E154" s="1" t="s">
        <v>47</v>
      </c>
      <c r="F154" s="1" t="s">
        <v>45</v>
      </c>
      <c r="G154">
        <v>375000</v>
      </c>
      <c r="H154" s="1">
        <v>1</v>
      </c>
      <c r="I154" s="1" t="s">
        <v>39</v>
      </c>
      <c r="J154" s="1" t="s">
        <v>29</v>
      </c>
      <c r="K154">
        <v>375000</v>
      </c>
    </row>
    <row r="155" spans="1:11" x14ac:dyDescent="0.2">
      <c r="A155" s="2" t="s">
        <v>192</v>
      </c>
      <c r="B155" s="3">
        <v>45816</v>
      </c>
      <c r="C155" s="10" t="s">
        <v>15</v>
      </c>
      <c r="D155" s="10" t="s">
        <v>16</v>
      </c>
      <c r="E155" s="1" t="s">
        <v>36</v>
      </c>
      <c r="F155" s="1" t="s">
        <v>60</v>
      </c>
      <c r="G155">
        <v>225000</v>
      </c>
      <c r="H155" s="1">
        <v>3</v>
      </c>
      <c r="I155" s="1" t="s">
        <v>39</v>
      </c>
      <c r="J155" s="1" t="s">
        <v>37</v>
      </c>
      <c r="K155">
        <v>675000</v>
      </c>
    </row>
    <row r="156" spans="1:11" x14ac:dyDescent="0.2">
      <c r="A156" s="2" t="s">
        <v>193</v>
      </c>
      <c r="B156" s="3">
        <v>45796</v>
      </c>
      <c r="C156" s="10" t="s">
        <v>21</v>
      </c>
      <c r="D156" s="10" t="s">
        <v>22</v>
      </c>
      <c r="E156" s="1" t="s">
        <v>26</v>
      </c>
      <c r="F156" s="1" t="s">
        <v>45</v>
      </c>
      <c r="G156">
        <v>75000</v>
      </c>
      <c r="H156" s="1">
        <v>3</v>
      </c>
      <c r="I156" s="1" t="s">
        <v>28</v>
      </c>
      <c r="J156" s="1" t="s">
        <v>37</v>
      </c>
      <c r="K156">
        <v>225000</v>
      </c>
    </row>
    <row r="157" spans="1:11" x14ac:dyDescent="0.2">
      <c r="A157" s="2" t="s">
        <v>194</v>
      </c>
      <c r="B157" s="3">
        <v>45769</v>
      </c>
      <c r="C157" s="10" t="s">
        <v>17</v>
      </c>
      <c r="D157" s="10" t="s">
        <v>18</v>
      </c>
      <c r="E157" s="1" t="s">
        <v>36</v>
      </c>
      <c r="F157" s="1" t="s">
        <v>27</v>
      </c>
      <c r="G157">
        <v>300000</v>
      </c>
      <c r="H157" s="1">
        <v>3</v>
      </c>
      <c r="I157" s="1" t="s">
        <v>28</v>
      </c>
      <c r="J157" s="1" t="s">
        <v>29</v>
      </c>
      <c r="K157">
        <v>900000</v>
      </c>
    </row>
    <row r="158" spans="1:11" x14ac:dyDescent="0.2">
      <c r="A158" s="2" t="s">
        <v>195</v>
      </c>
      <c r="B158" s="3">
        <v>45827</v>
      </c>
      <c r="C158" s="10" t="s">
        <v>15</v>
      </c>
      <c r="D158" s="10" t="s">
        <v>16</v>
      </c>
      <c r="E158" s="1" t="s">
        <v>31</v>
      </c>
      <c r="F158" s="1" t="s">
        <v>27</v>
      </c>
      <c r="G158">
        <v>225000</v>
      </c>
      <c r="H158" s="1">
        <v>2</v>
      </c>
      <c r="I158" s="1" t="s">
        <v>39</v>
      </c>
      <c r="J158" s="1" t="s">
        <v>37</v>
      </c>
      <c r="K158">
        <v>450000</v>
      </c>
    </row>
    <row r="159" spans="1:11" x14ac:dyDescent="0.2">
      <c r="A159" s="2" t="s">
        <v>196</v>
      </c>
      <c r="B159" s="3">
        <v>45670</v>
      </c>
      <c r="C159" s="10" t="s">
        <v>11</v>
      </c>
      <c r="D159" s="10" t="s">
        <v>12</v>
      </c>
      <c r="E159" s="1" t="s">
        <v>31</v>
      </c>
      <c r="F159" s="1" t="s">
        <v>45</v>
      </c>
      <c r="G159">
        <v>350000</v>
      </c>
      <c r="H159" s="1">
        <v>1</v>
      </c>
      <c r="I159" s="1" t="s">
        <v>39</v>
      </c>
      <c r="J159" s="1" t="s">
        <v>29</v>
      </c>
      <c r="K159">
        <v>350000</v>
      </c>
    </row>
    <row r="160" spans="1:11" x14ac:dyDescent="0.2">
      <c r="A160" s="2" t="s">
        <v>197</v>
      </c>
      <c r="B160" s="3">
        <v>45806</v>
      </c>
      <c r="C160" s="10" t="s">
        <v>13</v>
      </c>
      <c r="D160" s="10" t="s">
        <v>14</v>
      </c>
      <c r="E160" s="1" t="s">
        <v>26</v>
      </c>
      <c r="F160" s="1" t="s">
        <v>45</v>
      </c>
      <c r="G160">
        <v>275000</v>
      </c>
      <c r="H160" s="1">
        <v>1</v>
      </c>
      <c r="I160" s="1" t="s">
        <v>39</v>
      </c>
      <c r="J160" s="1" t="s">
        <v>29</v>
      </c>
      <c r="K160">
        <v>275000</v>
      </c>
    </row>
    <row r="161" spans="1:11" x14ac:dyDescent="0.2">
      <c r="A161" s="2" t="s">
        <v>198</v>
      </c>
      <c r="B161" s="3">
        <v>45662</v>
      </c>
      <c r="C161" s="10" t="s">
        <v>23</v>
      </c>
      <c r="D161" s="10" t="s">
        <v>12</v>
      </c>
      <c r="E161" s="1" t="s">
        <v>47</v>
      </c>
      <c r="F161" s="1" t="s">
        <v>34</v>
      </c>
      <c r="G161">
        <v>375000</v>
      </c>
      <c r="H161" s="1">
        <v>2</v>
      </c>
      <c r="I161" s="1" t="s">
        <v>28</v>
      </c>
      <c r="J161" s="1" t="s">
        <v>37</v>
      </c>
      <c r="K161">
        <v>750000</v>
      </c>
    </row>
    <row r="162" spans="1:11" x14ac:dyDescent="0.2">
      <c r="A162" s="2" t="s">
        <v>199</v>
      </c>
      <c r="B162" s="3">
        <v>45823</v>
      </c>
      <c r="C162" s="10" t="s">
        <v>17</v>
      </c>
      <c r="D162" s="10" t="s">
        <v>18</v>
      </c>
      <c r="E162" s="1" t="s">
        <v>36</v>
      </c>
      <c r="F162" s="1" t="s">
        <v>32</v>
      </c>
      <c r="G162">
        <v>300000</v>
      </c>
      <c r="H162" s="1">
        <v>2</v>
      </c>
      <c r="I162" s="1" t="s">
        <v>28</v>
      </c>
      <c r="J162" s="1" t="s">
        <v>37</v>
      </c>
      <c r="K162">
        <v>600000</v>
      </c>
    </row>
    <row r="163" spans="1:11" x14ac:dyDescent="0.2">
      <c r="A163" s="2" t="s">
        <v>200</v>
      </c>
      <c r="B163" s="3">
        <v>45754</v>
      </c>
      <c r="C163" s="10" t="s">
        <v>21</v>
      </c>
      <c r="D163" s="10" t="s">
        <v>22</v>
      </c>
      <c r="E163" s="1" t="s">
        <v>31</v>
      </c>
      <c r="F163" s="1" t="s">
        <v>45</v>
      </c>
      <c r="G163">
        <v>75000</v>
      </c>
      <c r="H163" s="1">
        <v>3</v>
      </c>
      <c r="I163" s="1" t="s">
        <v>39</v>
      </c>
      <c r="J163" s="1" t="s">
        <v>29</v>
      </c>
      <c r="K163">
        <v>225000</v>
      </c>
    </row>
    <row r="164" spans="1:11" x14ac:dyDescent="0.2">
      <c r="A164" s="2" t="s">
        <v>201</v>
      </c>
      <c r="B164" s="3">
        <v>45828</v>
      </c>
      <c r="C164" s="10" t="s">
        <v>24</v>
      </c>
      <c r="D164" s="10" t="s">
        <v>16</v>
      </c>
      <c r="E164" s="1" t="s">
        <v>47</v>
      </c>
      <c r="F164" s="1" t="s">
        <v>34</v>
      </c>
      <c r="G164">
        <v>240000</v>
      </c>
      <c r="H164" s="1">
        <v>3</v>
      </c>
      <c r="I164" s="1" t="s">
        <v>28</v>
      </c>
      <c r="J164" s="1" t="s">
        <v>37</v>
      </c>
      <c r="K164">
        <v>720000</v>
      </c>
    </row>
    <row r="165" spans="1:11" x14ac:dyDescent="0.2">
      <c r="A165" s="2" t="s">
        <v>202</v>
      </c>
      <c r="B165" s="3">
        <v>45743</v>
      </c>
      <c r="C165" s="10" t="s">
        <v>11</v>
      </c>
      <c r="D165" s="10" t="s">
        <v>12</v>
      </c>
      <c r="E165" s="1" t="s">
        <v>26</v>
      </c>
      <c r="F165" s="1" t="s">
        <v>60</v>
      </c>
      <c r="G165">
        <v>350000</v>
      </c>
      <c r="H165" s="1">
        <v>1</v>
      </c>
      <c r="I165" s="1" t="s">
        <v>28</v>
      </c>
      <c r="J165" s="1" t="s">
        <v>29</v>
      </c>
      <c r="K165">
        <v>350000</v>
      </c>
    </row>
    <row r="166" spans="1:11" x14ac:dyDescent="0.2">
      <c r="A166" s="2" t="s">
        <v>203</v>
      </c>
      <c r="B166" s="3">
        <v>45806</v>
      </c>
      <c r="C166" s="10" t="s">
        <v>13</v>
      </c>
      <c r="D166" s="10" t="s">
        <v>14</v>
      </c>
      <c r="E166" s="1" t="s">
        <v>47</v>
      </c>
      <c r="F166" s="1" t="s">
        <v>27</v>
      </c>
      <c r="G166">
        <v>275000</v>
      </c>
      <c r="H166" s="1">
        <v>1</v>
      </c>
      <c r="I166" s="1" t="s">
        <v>39</v>
      </c>
      <c r="J166" s="1" t="s">
        <v>29</v>
      </c>
      <c r="K166">
        <v>275000</v>
      </c>
    </row>
    <row r="167" spans="1:11" x14ac:dyDescent="0.2">
      <c r="A167" s="2" t="s">
        <v>204</v>
      </c>
      <c r="B167" s="3">
        <v>45736</v>
      </c>
      <c r="C167" s="10" t="s">
        <v>23</v>
      </c>
      <c r="D167" s="10" t="s">
        <v>12</v>
      </c>
      <c r="E167" s="1" t="s">
        <v>47</v>
      </c>
      <c r="F167" s="1" t="s">
        <v>41</v>
      </c>
      <c r="G167">
        <v>375000</v>
      </c>
      <c r="H167" s="1">
        <v>3</v>
      </c>
      <c r="I167" s="1" t="s">
        <v>28</v>
      </c>
      <c r="J167" s="1" t="s">
        <v>37</v>
      </c>
      <c r="K167">
        <v>1125000</v>
      </c>
    </row>
    <row r="168" spans="1:11" x14ac:dyDescent="0.2">
      <c r="A168" s="2" t="s">
        <v>205</v>
      </c>
      <c r="B168" s="3">
        <v>45663</v>
      </c>
      <c r="C168" s="10" t="s">
        <v>11</v>
      </c>
      <c r="D168" s="10" t="s">
        <v>12</v>
      </c>
      <c r="E168" s="1" t="s">
        <v>26</v>
      </c>
      <c r="F168" s="1" t="s">
        <v>27</v>
      </c>
      <c r="G168">
        <v>350000</v>
      </c>
      <c r="H168" s="1">
        <v>3</v>
      </c>
      <c r="I168" s="1" t="s">
        <v>39</v>
      </c>
      <c r="J168" s="1" t="s">
        <v>29</v>
      </c>
      <c r="K168">
        <v>1050000</v>
      </c>
    </row>
    <row r="169" spans="1:11" x14ac:dyDescent="0.2">
      <c r="A169" s="2" t="s">
        <v>206</v>
      </c>
      <c r="B169" s="3">
        <v>45741</v>
      </c>
      <c r="C169" s="10" t="s">
        <v>19</v>
      </c>
      <c r="D169" s="10" t="s">
        <v>20</v>
      </c>
      <c r="E169" s="1" t="s">
        <v>47</v>
      </c>
      <c r="F169" s="1" t="s">
        <v>32</v>
      </c>
      <c r="G169">
        <v>250000</v>
      </c>
      <c r="H169" s="1">
        <v>3</v>
      </c>
      <c r="I169" s="1" t="s">
        <v>39</v>
      </c>
      <c r="J169" s="1" t="s">
        <v>29</v>
      </c>
      <c r="K169">
        <v>750000</v>
      </c>
    </row>
    <row r="170" spans="1:11" x14ac:dyDescent="0.2">
      <c r="A170" s="2" t="s">
        <v>207</v>
      </c>
      <c r="B170" s="3">
        <v>45720</v>
      </c>
      <c r="C170" s="10" t="s">
        <v>24</v>
      </c>
      <c r="D170" s="10" t="s">
        <v>16</v>
      </c>
      <c r="E170" s="1" t="s">
        <v>47</v>
      </c>
      <c r="F170" s="1" t="s">
        <v>34</v>
      </c>
      <c r="G170">
        <v>240000</v>
      </c>
      <c r="H170" s="1">
        <v>3</v>
      </c>
      <c r="I170" s="1" t="s">
        <v>39</v>
      </c>
      <c r="J170" s="1" t="s">
        <v>37</v>
      </c>
      <c r="K170">
        <v>720000</v>
      </c>
    </row>
    <row r="171" spans="1:11" x14ac:dyDescent="0.2">
      <c r="A171" s="2" t="s">
        <v>208</v>
      </c>
      <c r="B171" s="3">
        <v>45820</v>
      </c>
      <c r="C171" s="10" t="s">
        <v>21</v>
      </c>
      <c r="D171" s="10" t="s">
        <v>22</v>
      </c>
      <c r="E171" s="1" t="s">
        <v>26</v>
      </c>
      <c r="F171" s="1" t="s">
        <v>60</v>
      </c>
      <c r="G171">
        <v>75000</v>
      </c>
      <c r="H171" s="1">
        <v>1</v>
      </c>
      <c r="I171" s="1" t="s">
        <v>28</v>
      </c>
      <c r="J171" s="1" t="s">
        <v>29</v>
      </c>
      <c r="K171">
        <v>75000</v>
      </c>
    </row>
    <row r="172" spans="1:11" x14ac:dyDescent="0.2">
      <c r="A172" s="2" t="s">
        <v>209</v>
      </c>
      <c r="B172" s="3">
        <v>45836</v>
      </c>
      <c r="C172" s="10" t="s">
        <v>23</v>
      </c>
      <c r="D172" s="10" t="s">
        <v>12</v>
      </c>
      <c r="E172" s="1" t="s">
        <v>26</v>
      </c>
      <c r="F172" s="1" t="s">
        <v>32</v>
      </c>
      <c r="G172">
        <v>375000</v>
      </c>
      <c r="H172" s="1">
        <v>3</v>
      </c>
      <c r="I172" s="1" t="s">
        <v>39</v>
      </c>
      <c r="J172" s="1" t="s">
        <v>29</v>
      </c>
      <c r="K172">
        <v>1125000</v>
      </c>
    </row>
    <row r="173" spans="1:11" x14ac:dyDescent="0.2">
      <c r="A173" s="2" t="s">
        <v>210</v>
      </c>
      <c r="B173" s="3">
        <v>45753</v>
      </c>
      <c r="C173" s="10" t="s">
        <v>24</v>
      </c>
      <c r="D173" s="10" t="s">
        <v>16</v>
      </c>
      <c r="E173" s="1" t="s">
        <v>47</v>
      </c>
      <c r="F173" s="1" t="s">
        <v>34</v>
      </c>
      <c r="G173">
        <v>240000</v>
      </c>
      <c r="H173" s="1">
        <v>1</v>
      </c>
      <c r="I173" s="1" t="s">
        <v>28</v>
      </c>
      <c r="J173" s="1" t="s">
        <v>29</v>
      </c>
      <c r="K173">
        <v>240000</v>
      </c>
    </row>
    <row r="174" spans="1:11" x14ac:dyDescent="0.2">
      <c r="A174" s="2" t="s">
        <v>211</v>
      </c>
      <c r="B174" s="3">
        <v>45733</v>
      </c>
      <c r="C174" s="10" t="s">
        <v>23</v>
      </c>
      <c r="D174" s="10" t="s">
        <v>12</v>
      </c>
      <c r="E174" s="1" t="s">
        <v>31</v>
      </c>
      <c r="F174" s="1" t="s">
        <v>41</v>
      </c>
      <c r="G174">
        <v>375000</v>
      </c>
      <c r="H174" s="1">
        <v>3</v>
      </c>
      <c r="I174" s="1" t="s">
        <v>39</v>
      </c>
      <c r="J174" s="1" t="s">
        <v>37</v>
      </c>
      <c r="K174">
        <v>1125000</v>
      </c>
    </row>
    <row r="175" spans="1:11" x14ac:dyDescent="0.2">
      <c r="A175" s="2" t="s">
        <v>212</v>
      </c>
      <c r="B175" s="3">
        <v>45722</v>
      </c>
      <c r="C175" s="10" t="s">
        <v>13</v>
      </c>
      <c r="D175" s="10" t="s">
        <v>14</v>
      </c>
      <c r="E175" s="1" t="s">
        <v>26</v>
      </c>
      <c r="F175" s="1" t="s">
        <v>60</v>
      </c>
      <c r="G175">
        <v>275000</v>
      </c>
      <c r="H175" s="1">
        <v>3</v>
      </c>
      <c r="I175" s="1" t="s">
        <v>39</v>
      </c>
      <c r="J175" s="1" t="s">
        <v>37</v>
      </c>
      <c r="K175">
        <v>825000</v>
      </c>
    </row>
    <row r="176" spans="1:11" x14ac:dyDescent="0.2">
      <c r="A176" s="2" t="s">
        <v>213</v>
      </c>
      <c r="B176" s="3">
        <v>45755</v>
      </c>
      <c r="C176" s="10" t="s">
        <v>17</v>
      </c>
      <c r="D176" s="10" t="s">
        <v>18</v>
      </c>
      <c r="E176" s="1" t="s">
        <v>26</v>
      </c>
      <c r="F176" s="1" t="s">
        <v>60</v>
      </c>
      <c r="G176">
        <v>300000</v>
      </c>
      <c r="H176" s="1">
        <v>2</v>
      </c>
      <c r="I176" s="1" t="s">
        <v>28</v>
      </c>
      <c r="J176" s="1" t="s">
        <v>37</v>
      </c>
      <c r="K176">
        <v>600000</v>
      </c>
    </row>
    <row r="177" spans="1:11" x14ac:dyDescent="0.2">
      <c r="A177" s="2" t="s">
        <v>214</v>
      </c>
      <c r="B177" s="3">
        <v>45832</v>
      </c>
      <c r="C177" s="10" t="s">
        <v>17</v>
      </c>
      <c r="D177" s="10" t="s">
        <v>18</v>
      </c>
      <c r="E177" s="1" t="s">
        <v>36</v>
      </c>
      <c r="F177" s="1" t="s">
        <v>41</v>
      </c>
      <c r="G177">
        <v>300000</v>
      </c>
      <c r="H177" s="1">
        <v>1</v>
      </c>
      <c r="I177" s="1" t="s">
        <v>39</v>
      </c>
      <c r="J177" s="1" t="s">
        <v>29</v>
      </c>
      <c r="K177">
        <v>300000</v>
      </c>
    </row>
    <row r="178" spans="1:11" x14ac:dyDescent="0.2">
      <c r="A178" s="2" t="s">
        <v>215</v>
      </c>
      <c r="B178" s="3">
        <v>45812</v>
      </c>
      <c r="C178" s="10" t="s">
        <v>13</v>
      </c>
      <c r="D178" s="10" t="s">
        <v>14</v>
      </c>
      <c r="E178" s="1" t="s">
        <v>36</v>
      </c>
      <c r="F178" s="1" t="s">
        <v>41</v>
      </c>
      <c r="G178">
        <v>275000</v>
      </c>
      <c r="H178" s="1">
        <v>2</v>
      </c>
      <c r="I178" s="1" t="s">
        <v>28</v>
      </c>
      <c r="J178" s="1" t="s">
        <v>37</v>
      </c>
      <c r="K178">
        <v>550000</v>
      </c>
    </row>
    <row r="179" spans="1:11" x14ac:dyDescent="0.2">
      <c r="A179" s="2" t="s">
        <v>216</v>
      </c>
      <c r="B179" s="3">
        <v>45748</v>
      </c>
      <c r="C179" s="10" t="s">
        <v>23</v>
      </c>
      <c r="D179" s="10" t="s">
        <v>12</v>
      </c>
      <c r="E179" s="1" t="s">
        <v>26</v>
      </c>
      <c r="F179" s="1" t="s">
        <v>34</v>
      </c>
      <c r="G179">
        <v>375000</v>
      </c>
      <c r="H179" s="1">
        <v>1</v>
      </c>
      <c r="I179" s="1" t="s">
        <v>39</v>
      </c>
      <c r="J179" s="1" t="s">
        <v>37</v>
      </c>
      <c r="K179">
        <v>375000</v>
      </c>
    </row>
    <row r="180" spans="1:11" x14ac:dyDescent="0.2">
      <c r="A180" s="2" t="s">
        <v>217</v>
      </c>
      <c r="B180" s="3">
        <v>45774</v>
      </c>
      <c r="C180" s="10" t="s">
        <v>15</v>
      </c>
      <c r="D180" s="10" t="s">
        <v>16</v>
      </c>
      <c r="E180" s="1" t="s">
        <v>36</v>
      </c>
      <c r="F180" s="1" t="s">
        <v>60</v>
      </c>
      <c r="G180">
        <v>225000</v>
      </c>
      <c r="H180" s="1">
        <v>1</v>
      </c>
      <c r="I180" s="1" t="s">
        <v>39</v>
      </c>
      <c r="J180" s="1" t="s">
        <v>29</v>
      </c>
      <c r="K180">
        <v>225000</v>
      </c>
    </row>
    <row r="181" spans="1:11" x14ac:dyDescent="0.2">
      <c r="A181" s="2" t="s">
        <v>218</v>
      </c>
      <c r="B181" s="3">
        <v>45838</v>
      </c>
      <c r="C181" s="10" t="s">
        <v>24</v>
      </c>
      <c r="D181" s="10" t="s">
        <v>16</v>
      </c>
      <c r="E181" s="1" t="s">
        <v>36</v>
      </c>
      <c r="F181" s="1" t="s">
        <v>27</v>
      </c>
      <c r="G181">
        <v>240000</v>
      </c>
      <c r="H181" s="1">
        <v>2</v>
      </c>
      <c r="I181" s="1" t="s">
        <v>28</v>
      </c>
      <c r="J181" s="1" t="s">
        <v>29</v>
      </c>
      <c r="K181">
        <v>480000</v>
      </c>
    </row>
    <row r="182" spans="1:11" x14ac:dyDescent="0.2">
      <c r="A182" s="2" t="s">
        <v>219</v>
      </c>
      <c r="B182" s="3">
        <v>45775</v>
      </c>
      <c r="C182" s="10" t="s">
        <v>21</v>
      </c>
      <c r="D182" s="10" t="s">
        <v>22</v>
      </c>
      <c r="E182" s="1" t="s">
        <v>36</v>
      </c>
      <c r="F182" s="1" t="s">
        <v>32</v>
      </c>
      <c r="G182">
        <v>75000</v>
      </c>
      <c r="H182" s="1">
        <v>1</v>
      </c>
      <c r="I182" s="1" t="s">
        <v>39</v>
      </c>
      <c r="J182" s="1" t="s">
        <v>37</v>
      </c>
      <c r="K182">
        <v>75000</v>
      </c>
    </row>
    <row r="183" spans="1:11" x14ac:dyDescent="0.2">
      <c r="A183" s="2" t="s">
        <v>220</v>
      </c>
      <c r="B183" s="3">
        <v>45682</v>
      </c>
      <c r="C183" s="10" t="s">
        <v>11</v>
      </c>
      <c r="D183" s="10" t="s">
        <v>12</v>
      </c>
      <c r="E183" s="1" t="s">
        <v>26</v>
      </c>
      <c r="F183" s="1" t="s">
        <v>41</v>
      </c>
      <c r="G183">
        <v>350000</v>
      </c>
      <c r="H183" s="1">
        <v>1</v>
      </c>
      <c r="I183" s="1" t="s">
        <v>39</v>
      </c>
      <c r="J183" s="1" t="s">
        <v>29</v>
      </c>
      <c r="K183">
        <v>350000</v>
      </c>
    </row>
    <row r="184" spans="1:11" x14ac:dyDescent="0.2">
      <c r="A184" s="2" t="s">
        <v>221</v>
      </c>
      <c r="B184" s="3">
        <v>45805</v>
      </c>
      <c r="C184" s="10" t="s">
        <v>15</v>
      </c>
      <c r="D184" s="10" t="s">
        <v>16</v>
      </c>
      <c r="E184" s="1" t="s">
        <v>36</v>
      </c>
      <c r="F184" s="1" t="s">
        <v>41</v>
      </c>
      <c r="G184">
        <v>225000</v>
      </c>
      <c r="H184" s="1">
        <v>1</v>
      </c>
      <c r="I184" s="1" t="s">
        <v>28</v>
      </c>
      <c r="J184" s="1" t="s">
        <v>29</v>
      </c>
      <c r="K184">
        <v>225000</v>
      </c>
    </row>
    <row r="185" spans="1:11" x14ac:dyDescent="0.2">
      <c r="A185" s="2" t="s">
        <v>222</v>
      </c>
      <c r="B185" s="3">
        <v>45696</v>
      </c>
      <c r="C185" s="10" t="s">
        <v>11</v>
      </c>
      <c r="D185" s="10" t="s">
        <v>12</v>
      </c>
      <c r="E185" s="1" t="s">
        <v>47</v>
      </c>
      <c r="F185" s="1" t="s">
        <v>45</v>
      </c>
      <c r="G185">
        <v>350000</v>
      </c>
      <c r="H185" s="1">
        <v>1</v>
      </c>
      <c r="I185" s="1" t="s">
        <v>28</v>
      </c>
      <c r="J185" s="1" t="s">
        <v>29</v>
      </c>
      <c r="K185">
        <v>350000</v>
      </c>
    </row>
    <row r="186" spans="1:11" x14ac:dyDescent="0.2">
      <c r="A186" s="2" t="s">
        <v>223</v>
      </c>
      <c r="B186" s="3">
        <v>45675</v>
      </c>
      <c r="C186" s="10" t="s">
        <v>21</v>
      </c>
      <c r="D186" s="10" t="s">
        <v>22</v>
      </c>
      <c r="E186" s="1" t="s">
        <v>26</v>
      </c>
      <c r="F186" s="1" t="s">
        <v>45</v>
      </c>
      <c r="G186">
        <v>75000</v>
      </c>
      <c r="H186" s="1">
        <v>3</v>
      </c>
      <c r="I186" s="1" t="s">
        <v>39</v>
      </c>
      <c r="J186" s="1" t="s">
        <v>37</v>
      </c>
      <c r="K186">
        <v>225000</v>
      </c>
    </row>
    <row r="187" spans="1:11" x14ac:dyDescent="0.2">
      <c r="A187" s="2" t="s">
        <v>224</v>
      </c>
      <c r="B187" s="3">
        <v>45730</v>
      </c>
      <c r="C187" s="10" t="s">
        <v>17</v>
      </c>
      <c r="D187" s="10" t="s">
        <v>18</v>
      </c>
      <c r="E187" s="1" t="s">
        <v>36</v>
      </c>
      <c r="F187" s="1" t="s">
        <v>27</v>
      </c>
      <c r="G187">
        <v>300000</v>
      </c>
      <c r="H187" s="1">
        <v>2</v>
      </c>
      <c r="I187" s="1" t="s">
        <v>39</v>
      </c>
      <c r="J187" s="1" t="s">
        <v>29</v>
      </c>
      <c r="K187">
        <v>600000</v>
      </c>
    </row>
    <row r="188" spans="1:11" x14ac:dyDescent="0.2">
      <c r="A188" s="2" t="s">
        <v>225</v>
      </c>
      <c r="B188" s="3">
        <v>45737</v>
      </c>
      <c r="C188" s="10" t="s">
        <v>24</v>
      </c>
      <c r="D188" s="10" t="s">
        <v>16</v>
      </c>
      <c r="E188" s="1" t="s">
        <v>26</v>
      </c>
      <c r="F188" s="1" t="s">
        <v>32</v>
      </c>
      <c r="G188">
        <v>240000</v>
      </c>
      <c r="H188" s="1">
        <v>3</v>
      </c>
      <c r="I188" s="1" t="s">
        <v>39</v>
      </c>
      <c r="J188" s="1" t="s">
        <v>29</v>
      </c>
      <c r="K188">
        <v>720000</v>
      </c>
    </row>
    <row r="189" spans="1:11" x14ac:dyDescent="0.2">
      <c r="A189" s="2" t="s">
        <v>226</v>
      </c>
      <c r="B189" s="3">
        <v>45812</v>
      </c>
      <c r="C189" s="10" t="s">
        <v>15</v>
      </c>
      <c r="D189" s="10" t="s">
        <v>16</v>
      </c>
      <c r="E189" s="1" t="s">
        <v>31</v>
      </c>
      <c r="F189" s="1" t="s">
        <v>41</v>
      </c>
      <c r="G189">
        <v>225000</v>
      </c>
      <c r="H189" s="1">
        <v>1</v>
      </c>
      <c r="I189" s="1" t="s">
        <v>39</v>
      </c>
      <c r="J189" s="1" t="s">
        <v>37</v>
      </c>
      <c r="K189">
        <v>225000</v>
      </c>
    </row>
    <row r="190" spans="1:11" x14ac:dyDescent="0.2">
      <c r="A190" s="2" t="s">
        <v>227</v>
      </c>
      <c r="B190" s="3">
        <v>45754</v>
      </c>
      <c r="C190" s="10" t="s">
        <v>24</v>
      </c>
      <c r="D190" s="10" t="s">
        <v>16</v>
      </c>
      <c r="E190" s="1" t="s">
        <v>36</v>
      </c>
      <c r="F190" s="1" t="s">
        <v>34</v>
      </c>
      <c r="G190">
        <v>240000</v>
      </c>
      <c r="H190" s="1">
        <v>2</v>
      </c>
      <c r="I190" s="1" t="s">
        <v>39</v>
      </c>
      <c r="J190" s="1" t="s">
        <v>29</v>
      </c>
      <c r="K190">
        <v>480000</v>
      </c>
    </row>
    <row r="191" spans="1:11" x14ac:dyDescent="0.2">
      <c r="A191" s="2" t="s">
        <v>228</v>
      </c>
      <c r="B191" s="3">
        <v>45831</v>
      </c>
      <c r="C191" s="10" t="s">
        <v>15</v>
      </c>
      <c r="D191" s="10" t="s">
        <v>16</v>
      </c>
      <c r="E191" s="1" t="s">
        <v>31</v>
      </c>
      <c r="F191" s="1" t="s">
        <v>60</v>
      </c>
      <c r="G191">
        <v>225000</v>
      </c>
      <c r="H191" s="1">
        <v>1</v>
      </c>
      <c r="I191" s="1" t="s">
        <v>39</v>
      </c>
      <c r="J191" s="1" t="s">
        <v>29</v>
      </c>
      <c r="K191">
        <v>225000</v>
      </c>
    </row>
    <row r="192" spans="1:11" x14ac:dyDescent="0.2">
      <c r="A192" s="2" t="s">
        <v>229</v>
      </c>
      <c r="B192" s="3">
        <v>45750</v>
      </c>
      <c r="C192" s="10" t="s">
        <v>17</v>
      </c>
      <c r="D192" s="10" t="s">
        <v>18</v>
      </c>
      <c r="E192" s="1" t="s">
        <v>31</v>
      </c>
      <c r="F192" s="1" t="s">
        <v>45</v>
      </c>
      <c r="G192">
        <v>300000</v>
      </c>
      <c r="H192" s="1">
        <v>2</v>
      </c>
      <c r="I192" s="1" t="s">
        <v>39</v>
      </c>
      <c r="J192" s="1" t="s">
        <v>37</v>
      </c>
      <c r="K192">
        <v>600000</v>
      </c>
    </row>
    <row r="193" spans="1:11" x14ac:dyDescent="0.2">
      <c r="A193" s="2" t="s">
        <v>230</v>
      </c>
      <c r="B193" s="3">
        <v>45668</v>
      </c>
      <c r="C193" s="10" t="s">
        <v>24</v>
      </c>
      <c r="D193" s="10" t="s">
        <v>16</v>
      </c>
      <c r="E193" s="1" t="s">
        <v>31</v>
      </c>
      <c r="F193" s="1" t="s">
        <v>27</v>
      </c>
      <c r="G193">
        <v>240000</v>
      </c>
      <c r="H193" s="1">
        <v>1</v>
      </c>
      <c r="I193" s="1" t="s">
        <v>28</v>
      </c>
      <c r="J193" s="1" t="s">
        <v>37</v>
      </c>
      <c r="K193">
        <v>240000</v>
      </c>
    </row>
    <row r="194" spans="1:11" x14ac:dyDescent="0.2">
      <c r="A194" s="2" t="s">
        <v>231</v>
      </c>
      <c r="B194" s="3">
        <v>45816</v>
      </c>
      <c r="C194" s="10" t="s">
        <v>19</v>
      </c>
      <c r="D194" s="10" t="s">
        <v>20</v>
      </c>
      <c r="E194" s="1" t="s">
        <v>47</v>
      </c>
      <c r="F194" s="1" t="s">
        <v>34</v>
      </c>
      <c r="G194">
        <v>250000</v>
      </c>
      <c r="H194" s="1">
        <v>1</v>
      </c>
      <c r="I194" s="1" t="s">
        <v>39</v>
      </c>
      <c r="J194" s="1" t="s">
        <v>37</v>
      </c>
      <c r="K194">
        <v>250000</v>
      </c>
    </row>
    <row r="195" spans="1:11" x14ac:dyDescent="0.2">
      <c r="A195" s="2" t="s">
        <v>232</v>
      </c>
      <c r="B195" s="3">
        <v>45682</v>
      </c>
      <c r="C195" s="10" t="s">
        <v>17</v>
      </c>
      <c r="D195" s="10" t="s">
        <v>18</v>
      </c>
      <c r="E195" s="1" t="s">
        <v>47</v>
      </c>
      <c r="F195" s="1" t="s">
        <v>60</v>
      </c>
      <c r="G195">
        <v>300000</v>
      </c>
      <c r="H195" s="1">
        <v>3</v>
      </c>
      <c r="I195" s="1" t="s">
        <v>28</v>
      </c>
      <c r="J195" s="1" t="s">
        <v>29</v>
      </c>
      <c r="K195">
        <v>900000</v>
      </c>
    </row>
    <row r="196" spans="1:11" x14ac:dyDescent="0.2">
      <c r="A196" s="2" t="s">
        <v>233</v>
      </c>
      <c r="B196" s="3">
        <v>45697</v>
      </c>
      <c r="C196" s="10" t="s">
        <v>24</v>
      </c>
      <c r="D196" s="10" t="s">
        <v>16</v>
      </c>
      <c r="E196" s="1" t="s">
        <v>47</v>
      </c>
      <c r="F196" s="1" t="s">
        <v>41</v>
      </c>
      <c r="G196">
        <v>240000</v>
      </c>
      <c r="H196" s="1">
        <v>2</v>
      </c>
      <c r="I196" s="1" t="s">
        <v>28</v>
      </c>
      <c r="J196" s="1" t="s">
        <v>29</v>
      </c>
      <c r="K196">
        <v>480000</v>
      </c>
    </row>
    <row r="197" spans="1:11" x14ac:dyDescent="0.2">
      <c r="A197" s="2" t="s">
        <v>234</v>
      </c>
      <c r="B197" s="3">
        <v>45696</v>
      </c>
      <c r="C197" s="10" t="s">
        <v>23</v>
      </c>
      <c r="D197" s="10" t="s">
        <v>12</v>
      </c>
      <c r="E197" s="1" t="s">
        <v>31</v>
      </c>
      <c r="F197" s="1" t="s">
        <v>32</v>
      </c>
      <c r="G197">
        <v>375000</v>
      </c>
      <c r="H197" s="1">
        <v>3</v>
      </c>
      <c r="I197" s="1" t="s">
        <v>39</v>
      </c>
      <c r="J197" s="1" t="s">
        <v>29</v>
      </c>
      <c r="K197">
        <v>1125000</v>
      </c>
    </row>
    <row r="198" spans="1:11" x14ac:dyDescent="0.2">
      <c r="A198" s="2" t="s">
        <v>235</v>
      </c>
      <c r="B198" s="3">
        <v>45718</v>
      </c>
      <c r="C198" s="10" t="s">
        <v>23</v>
      </c>
      <c r="D198" s="10" t="s">
        <v>12</v>
      </c>
      <c r="E198" s="1" t="s">
        <v>36</v>
      </c>
      <c r="F198" s="1" t="s">
        <v>41</v>
      </c>
      <c r="G198">
        <v>375000</v>
      </c>
      <c r="H198" s="1">
        <v>2</v>
      </c>
      <c r="I198" s="1" t="s">
        <v>28</v>
      </c>
      <c r="J198" s="1" t="s">
        <v>29</v>
      </c>
      <c r="K198">
        <v>750000</v>
      </c>
    </row>
    <row r="199" spans="1:11" x14ac:dyDescent="0.2">
      <c r="A199" s="2" t="s">
        <v>236</v>
      </c>
      <c r="B199" s="3">
        <v>45765</v>
      </c>
      <c r="C199" s="10" t="s">
        <v>21</v>
      </c>
      <c r="D199" s="10" t="s">
        <v>22</v>
      </c>
      <c r="E199" s="1" t="s">
        <v>26</v>
      </c>
      <c r="F199" s="1" t="s">
        <v>27</v>
      </c>
      <c r="G199">
        <v>75000</v>
      </c>
      <c r="H199" s="1">
        <v>2</v>
      </c>
      <c r="I199" s="1" t="s">
        <v>39</v>
      </c>
      <c r="J199" s="1" t="s">
        <v>29</v>
      </c>
      <c r="K199">
        <v>150000</v>
      </c>
    </row>
    <row r="200" spans="1:11" x14ac:dyDescent="0.2">
      <c r="A200" s="2" t="s">
        <v>237</v>
      </c>
      <c r="B200" s="3">
        <v>45733</v>
      </c>
      <c r="C200" s="10" t="s">
        <v>17</v>
      </c>
      <c r="D200" s="10" t="s">
        <v>18</v>
      </c>
      <c r="E200" s="1" t="s">
        <v>31</v>
      </c>
      <c r="F200" s="1" t="s">
        <v>41</v>
      </c>
      <c r="G200">
        <v>300000</v>
      </c>
      <c r="H200" s="1">
        <v>2</v>
      </c>
      <c r="I200" s="1" t="s">
        <v>39</v>
      </c>
      <c r="J200" s="1" t="s">
        <v>37</v>
      </c>
      <c r="K200">
        <v>600000</v>
      </c>
    </row>
    <row r="201" spans="1:11" x14ac:dyDescent="0.2">
      <c r="A201" s="2" t="s">
        <v>238</v>
      </c>
      <c r="B201" s="3">
        <v>45752</v>
      </c>
      <c r="C201" s="10" t="s">
        <v>11</v>
      </c>
      <c r="D201" s="10" t="s">
        <v>12</v>
      </c>
      <c r="E201" s="1" t="s">
        <v>47</v>
      </c>
      <c r="F201" s="1" t="s">
        <v>34</v>
      </c>
      <c r="G201">
        <v>350000</v>
      </c>
      <c r="H201" s="1">
        <v>3</v>
      </c>
      <c r="I201" s="1" t="s">
        <v>28</v>
      </c>
      <c r="J201" s="1" t="s">
        <v>37</v>
      </c>
      <c r="K201">
        <v>1050000</v>
      </c>
    </row>
    <row r="202" spans="1:11" x14ac:dyDescent="0.2">
      <c r="A202" s="2" t="s">
        <v>239</v>
      </c>
      <c r="B202" s="3">
        <v>45756</v>
      </c>
      <c r="C202" s="10" t="s">
        <v>15</v>
      </c>
      <c r="D202" s="10" t="s">
        <v>16</v>
      </c>
      <c r="E202" s="1" t="s">
        <v>47</v>
      </c>
      <c r="F202" s="1" t="s">
        <v>34</v>
      </c>
      <c r="G202">
        <v>225000</v>
      </c>
      <c r="H202" s="1">
        <v>2</v>
      </c>
      <c r="I202" s="1" t="s">
        <v>28</v>
      </c>
      <c r="J202" s="1" t="s">
        <v>29</v>
      </c>
      <c r="K202">
        <v>450000</v>
      </c>
    </row>
    <row r="203" spans="1:11" x14ac:dyDescent="0.2">
      <c r="A203" s="2" t="s">
        <v>240</v>
      </c>
      <c r="B203" s="3">
        <v>45749</v>
      </c>
      <c r="C203" s="10" t="s">
        <v>15</v>
      </c>
      <c r="D203" s="10" t="s">
        <v>16</v>
      </c>
      <c r="E203" s="1" t="s">
        <v>36</v>
      </c>
      <c r="F203" s="1" t="s">
        <v>41</v>
      </c>
      <c r="G203">
        <v>225000</v>
      </c>
      <c r="H203" s="1">
        <v>3</v>
      </c>
      <c r="I203" s="1" t="s">
        <v>28</v>
      </c>
      <c r="J203" s="1" t="s">
        <v>37</v>
      </c>
      <c r="K203">
        <v>675000</v>
      </c>
    </row>
    <row r="204" spans="1:11" x14ac:dyDescent="0.2">
      <c r="A204" s="2" t="s">
        <v>241</v>
      </c>
      <c r="B204" s="3">
        <v>45792</v>
      </c>
      <c r="C204" s="10" t="s">
        <v>21</v>
      </c>
      <c r="D204" s="10" t="s">
        <v>22</v>
      </c>
      <c r="E204" s="1" t="s">
        <v>31</v>
      </c>
      <c r="F204" s="1" t="s">
        <v>60</v>
      </c>
      <c r="G204">
        <v>75000</v>
      </c>
      <c r="H204" s="1">
        <v>1</v>
      </c>
      <c r="I204" s="1" t="s">
        <v>39</v>
      </c>
      <c r="J204" s="1" t="s">
        <v>37</v>
      </c>
      <c r="K204">
        <v>75000</v>
      </c>
    </row>
    <row r="205" spans="1:11" x14ac:dyDescent="0.2">
      <c r="A205" s="2" t="s">
        <v>242</v>
      </c>
      <c r="B205" s="3">
        <v>45690</v>
      </c>
      <c r="C205" s="10" t="s">
        <v>11</v>
      </c>
      <c r="D205" s="10" t="s">
        <v>12</v>
      </c>
      <c r="E205" s="1" t="s">
        <v>26</v>
      </c>
      <c r="F205" s="1" t="s">
        <v>32</v>
      </c>
      <c r="G205">
        <v>350000</v>
      </c>
      <c r="H205" s="1">
        <v>3</v>
      </c>
      <c r="I205" s="1" t="s">
        <v>28</v>
      </c>
      <c r="J205" s="1" t="s">
        <v>29</v>
      </c>
      <c r="K205">
        <v>1050000</v>
      </c>
    </row>
    <row r="206" spans="1:11" x14ac:dyDescent="0.2">
      <c r="A206" s="2" t="s">
        <v>243</v>
      </c>
      <c r="B206" s="3">
        <v>45658</v>
      </c>
      <c r="C206" s="10" t="s">
        <v>11</v>
      </c>
      <c r="D206" s="10" t="s">
        <v>12</v>
      </c>
      <c r="E206" s="1" t="s">
        <v>36</v>
      </c>
      <c r="F206" s="1" t="s">
        <v>45</v>
      </c>
      <c r="G206">
        <v>350000</v>
      </c>
      <c r="H206" s="1">
        <v>1</v>
      </c>
      <c r="I206" s="1" t="s">
        <v>39</v>
      </c>
      <c r="J206" s="1" t="s">
        <v>29</v>
      </c>
      <c r="K206">
        <v>350000</v>
      </c>
    </row>
    <row r="207" spans="1:11" x14ac:dyDescent="0.2">
      <c r="A207" s="2" t="s">
        <v>244</v>
      </c>
      <c r="B207" s="3">
        <v>45659</v>
      </c>
      <c r="C207" s="10" t="s">
        <v>19</v>
      </c>
      <c r="D207" s="10" t="s">
        <v>20</v>
      </c>
      <c r="E207" s="1" t="s">
        <v>26</v>
      </c>
      <c r="F207" s="1" t="s">
        <v>45</v>
      </c>
      <c r="G207">
        <v>250000</v>
      </c>
      <c r="H207" s="1">
        <v>3</v>
      </c>
      <c r="I207" s="1" t="s">
        <v>28</v>
      </c>
      <c r="J207" s="1" t="s">
        <v>37</v>
      </c>
      <c r="K207">
        <v>750000</v>
      </c>
    </row>
    <row r="208" spans="1:11" x14ac:dyDescent="0.2">
      <c r="A208" s="2" t="s">
        <v>245</v>
      </c>
      <c r="B208" s="3">
        <v>45672</v>
      </c>
      <c r="C208" s="10" t="s">
        <v>11</v>
      </c>
      <c r="D208" s="10" t="s">
        <v>12</v>
      </c>
      <c r="E208" s="1" t="s">
        <v>36</v>
      </c>
      <c r="F208" s="1" t="s">
        <v>45</v>
      </c>
      <c r="G208">
        <v>350000</v>
      </c>
      <c r="H208" s="1">
        <v>3</v>
      </c>
      <c r="I208" s="1" t="s">
        <v>28</v>
      </c>
      <c r="J208" s="1" t="s">
        <v>29</v>
      </c>
      <c r="K208">
        <v>1050000</v>
      </c>
    </row>
    <row r="209" spans="1:11" x14ac:dyDescent="0.2">
      <c r="A209" s="2" t="s">
        <v>246</v>
      </c>
      <c r="B209" s="3">
        <v>45721</v>
      </c>
      <c r="C209" s="10" t="s">
        <v>21</v>
      </c>
      <c r="D209" s="10" t="s">
        <v>22</v>
      </c>
      <c r="E209" s="1" t="s">
        <v>47</v>
      </c>
      <c r="F209" s="1" t="s">
        <v>34</v>
      </c>
      <c r="G209">
        <v>75000</v>
      </c>
      <c r="H209" s="1">
        <v>1</v>
      </c>
      <c r="I209" s="1" t="s">
        <v>28</v>
      </c>
      <c r="J209" s="1" t="s">
        <v>37</v>
      </c>
      <c r="K209">
        <v>75000</v>
      </c>
    </row>
    <row r="210" spans="1:11" x14ac:dyDescent="0.2">
      <c r="A210" s="2" t="s">
        <v>247</v>
      </c>
      <c r="B210" s="3">
        <v>45677</v>
      </c>
      <c r="C210" s="10" t="s">
        <v>17</v>
      </c>
      <c r="D210" s="10" t="s">
        <v>18</v>
      </c>
      <c r="E210" s="1" t="s">
        <v>31</v>
      </c>
      <c r="F210" s="1" t="s">
        <v>41</v>
      </c>
      <c r="G210">
        <v>300000</v>
      </c>
      <c r="H210" s="1">
        <v>2</v>
      </c>
      <c r="I210" s="1" t="s">
        <v>28</v>
      </c>
      <c r="J210" s="1" t="s">
        <v>29</v>
      </c>
      <c r="K210">
        <v>600000</v>
      </c>
    </row>
    <row r="211" spans="1:11" x14ac:dyDescent="0.2">
      <c r="A211" s="2" t="s">
        <v>248</v>
      </c>
      <c r="B211" s="3">
        <v>45812</v>
      </c>
      <c r="C211" s="10" t="s">
        <v>24</v>
      </c>
      <c r="D211" s="10" t="s">
        <v>16</v>
      </c>
      <c r="E211" s="1" t="s">
        <v>47</v>
      </c>
      <c r="F211" s="1" t="s">
        <v>60</v>
      </c>
      <c r="G211">
        <v>240000</v>
      </c>
      <c r="H211" s="1">
        <v>2</v>
      </c>
      <c r="I211" s="1" t="s">
        <v>39</v>
      </c>
      <c r="J211" s="1" t="s">
        <v>37</v>
      </c>
      <c r="K211">
        <v>480000</v>
      </c>
    </row>
    <row r="212" spans="1:11" x14ac:dyDescent="0.2">
      <c r="A212" s="2" t="s">
        <v>249</v>
      </c>
      <c r="B212" s="3">
        <v>45786</v>
      </c>
      <c r="C212" s="10" t="s">
        <v>23</v>
      </c>
      <c r="D212" s="10" t="s">
        <v>12</v>
      </c>
      <c r="E212" s="1" t="s">
        <v>26</v>
      </c>
      <c r="F212" s="1" t="s">
        <v>34</v>
      </c>
      <c r="G212">
        <v>375000</v>
      </c>
      <c r="H212" s="1">
        <v>2</v>
      </c>
      <c r="I212" s="1" t="s">
        <v>39</v>
      </c>
      <c r="J212" s="1" t="s">
        <v>29</v>
      </c>
      <c r="K212">
        <v>750000</v>
      </c>
    </row>
    <row r="213" spans="1:11" x14ac:dyDescent="0.2">
      <c r="A213" s="2" t="s">
        <v>250</v>
      </c>
      <c r="B213" s="3">
        <v>45687</v>
      </c>
      <c r="C213" s="10" t="s">
        <v>11</v>
      </c>
      <c r="D213" s="10" t="s">
        <v>12</v>
      </c>
      <c r="E213" s="1" t="s">
        <v>47</v>
      </c>
      <c r="F213" s="1" t="s">
        <v>41</v>
      </c>
      <c r="G213">
        <v>350000</v>
      </c>
      <c r="H213" s="1">
        <v>1</v>
      </c>
      <c r="I213" s="1" t="s">
        <v>39</v>
      </c>
      <c r="J213" s="1" t="s">
        <v>29</v>
      </c>
      <c r="K213">
        <v>350000</v>
      </c>
    </row>
    <row r="214" spans="1:11" x14ac:dyDescent="0.2">
      <c r="A214" s="2" t="s">
        <v>251</v>
      </c>
      <c r="B214" s="3">
        <v>45676</v>
      </c>
      <c r="C214" s="10" t="s">
        <v>17</v>
      </c>
      <c r="D214" s="10" t="s">
        <v>18</v>
      </c>
      <c r="E214" s="1" t="s">
        <v>47</v>
      </c>
      <c r="F214" s="1" t="s">
        <v>41</v>
      </c>
      <c r="G214">
        <v>300000</v>
      </c>
      <c r="H214" s="1">
        <v>1</v>
      </c>
      <c r="I214" s="1" t="s">
        <v>39</v>
      </c>
      <c r="J214" s="1" t="s">
        <v>37</v>
      </c>
      <c r="K214">
        <v>300000</v>
      </c>
    </row>
    <row r="215" spans="1:11" x14ac:dyDescent="0.2">
      <c r="A215" s="2" t="s">
        <v>252</v>
      </c>
      <c r="B215" s="3">
        <v>45719</v>
      </c>
      <c r="C215" s="10" t="s">
        <v>19</v>
      </c>
      <c r="D215" s="10" t="s">
        <v>20</v>
      </c>
      <c r="E215" s="1" t="s">
        <v>31</v>
      </c>
      <c r="F215" s="1" t="s">
        <v>27</v>
      </c>
      <c r="G215">
        <v>250000</v>
      </c>
      <c r="H215" s="1">
        <v>2</v>
      </c>
      <c r="I215" s="1" t="s">
        <v>39</v>
      </c>
      <c r="J215" s="1" t="s">
        <v>29</v>
      </c>
      <c r="K215">
        <v>500000</v>
      </c>
    </row>
    <row r="216" spans="1:11" x14ac:dyDescent="0.2">
      <c r="A216" s="2" t="s">
        <v>253</v>
      </c>
      <c r="B216" s="3">
        <v>45815</v>
      </c>
      <c r="C216" s="10" t="s">
        <v>24</v>
      </c>
      <c r="D216" s="10" t="s">
        <v>16</v>
      </c>
      <c r="E216" s="1" t="s">
        <v>47</v>
      </c>
      <c r="F216" s="1" t="s">
        <v>45</v>
      </c>
      <c r="G216">
        <v>240000</v>
      </c>
      <c r="H216" s="1">
        <v>3</v>
      </c>
      <c r="I216" s="1" t="s">
        <v>28</v>
      </c>
      <c r="J216" s="1" t="s">
        <v>37</v>
      </c>
      <c r="K216">
        <v>720000</v>
      </c>
    </row>
    <row r="217" spans="1:11" x14ac:dyDescent="0.2">
      <c r="A217" s="2" t="s">
        <v>254</v>
      </c>
      <c r="B217" s="3">
        <v>45688</v>
      </c>
      <c r="C217" s="10" t="s">
        <v>21</v>
      </c>
      <c r="D217" s="10" t="s">
        <v>22</v>
      </c>
      <c r="E217" s="1" t="s">
        <v>36</v>
      </c>
      <c r="F217" s="1" t="s">
        <v>34</v>
      </c>
      <c r="G217">
        <v>75000</v>
      </c>
      <c r="H217" s="1">
        <v>1</v>
      </c>
      <c r="I217" s="1" t="s">
        <v>39</v>
      </c>
      <c r="J217" s="1" t="s">
        <v>29</v>
      </c>
      <c r="K217">
        <v>75000</v>
      </c>
    </row>
    <row r="218" spans="1:11" x14ac:dyDescent="0.2">
      <c r="A218" s="2" t="s">
        <v>255</v>
      </c>
      <c r="B218" s="3">
        <v>45700</v>
      </c>
      <c r="C218" s="10" t="s">
        <v>19</v>
      </c>
      <c r="D218" s="10" t="s">
        <v>20</v>
      </c>
      <c r="E218" s="1" t="s">
        <v>47</v>
      </c>
      <c r="F218" s="1" t="s">
        <v>27</v>
      </c>
      <c r="G218">
        <v>250000</v>
      </c>
      <c r="H218" s="1">
        <v>1</v>
      </c>
      <c r="I218" s="1" t="s">
        <v>28</v>
      </c>
      <c r="J218" s="1" t="s">
        <v>37</v>
      </c>
      <c r="K218">
        <v>250000</v>
      </c>
    </row>
    <row r="219" spans="1:11" x14ac:dyDescent="0.2">
      <c r="A219" s="2" t="s">
        <v>256</v>
      </c>
      <c r="B219" s="3">
        <v>45719</v>
      </c>
      <c r="C219" s="10" t="s">
        <v>21</v>
      </c>
      <c r="D219" s="10" t="s">
        <v>22</v>
      </c>
      <c r="E219" s="1" t="s">
        <v>47</v>
      </c>
      <c r="F219" s="1" t="s">
        <v>41</v>
      </c>
      <c r="G219">
        <v>75000</v>
      </c>
      <c r="H219" s="1">
        <v>3</v>
      </c>
      <c r="I219" s="1" t="s">
        <v>28</v>
      </c>
      <c r="J219" s="1" t="s">
        <v>29</v>
      </c>
      <c r="K219">
        <v>225000</v>
      </c>
    </row>
    <row r="220" spans="1:11" x14ac:dyDescent="0.2">
      <c r="A220" s="2" t="s">
        <v>257</v>
      </c>
      <c r="B220" s="3">
        <v>45710</v>
      </c>
      <c r="C220" s="10" t="s">
        <v>23</v>
      </c>
      <c r="D220" s="10" t="s">
        <v>12</v>
      </c>
      <c r="E220" s="1" t="s">
        <v>47</v>
      </c>
      <c r="F220" s="1" t="s">
        <v>32</v>
      </c>
      <c r="G220">
        <v>375000</v>
      </c>
      <c r="H220" s="1">
        <v>1</v>
      </c>
      <c r="I220" s="1" t="s">
        <v>39</v>
      </c>
      <c r="J220" s="1" t="s">
        <v>37</v>
      </c>
      <c r="K220">
        <v>375000</v>
      </c>
    </row>
    <row r="221" spans="1:11" x14ac:dyDescent="0.2">
      <c r="A221" s="2" t="s">
        <v>258</v>
      </c>
      <c r="B221" s="3">
        <v>45747</v>
      </c>
      <c r="C221" s="10" t="s">
        <v>21</v>
      </c>
      <c r="D221" s="10" t="s">
        <v>22</v>
      </c>
      <c r="E221" s="1" t="s">
        <v>31</v>
      </c>
      <c r="F221" s="1" t="s">
        <v>60</v>
      </c>
      <c r="G221">
        <v>75000</v>
      </c>
      <c r="H221" s="1">
        <v>3</v>
      </c>
      <c r="I221" s="1" t="s">
        <v>39</v>
      </c>
      <c r="J221" s="1" t="s">
        <v>37</v>
      </c>
      <c r="K221">
        <v>225000</v>
      </c>
    </row>
    <row r="222" spans="1:11" x14ac:dyDescent="0.2">
      <c r="A222" s="2" t="s">
        <v>259</v>
      </c>
      <c r="B222" s="3">
        <v>45679</v>
      </c>
      <c r="C222" s="10" t="s">
        <v>24</v>
      </c>
      <c r="D222" s="10" t="s">
        <v>16</v>
      </c>
      <c r="E222" s="1" t="s">
        <v>36</v>
      </c>
      <c r="F222" s="1" t="s">
        <v>60</v>
      </c>
      <c r="G222">
        <v>240000</v>
      </c>
      <c r="H222" s="1">
        <v>1</v>
      </c>
      <c r="I222" s="1" t="s">
        <v>28</v>
      </c>
      <c r="J222" s="1" t="s">
        <v>37</v>
      </c>
      <c r="K222">
        <v>240000</v>
      </c>
    </row>
    <row r="223" spans="1:11" x14ac:dyDescent="0.2">
      <c r="A223" s="2" t="s">
        <v>260</v>
      </c>
      <c r="B223" s="3">
        <v>45755</v>
      </c>
      <c r="C223" s="10" t="s">
        <v>13</v>
      </c>
      <c r="D223" s="10" t="s">
        <v>14</v>
      </c>
      <c r="E223" s="1" t="s">
        <v>36</v>
      </c>
      <c r="F223" s="1" t="s">
        <v>45</v>
      </c>
      <c r="G223">
        <v>275000</v>
      </c>
      <c r="H223" s="1">
        <v>1</v>
      </c>
      <c r="I223" s="1" t="s">
        <v>39</v>
      </c>
      <c r="J223" s="1" t="s">
        <v>29</v>
      </c>
      <c r="K223">
        <v>275000</v>
      </c>
    </row>
    <row r="224" spans="1:11" x14ac:dyDescent="0.2">
      <c r="A224" s="2" t="s">
        <v>261</v>
      </c>
      <c r="B224" s="3">
        <v>45793</v>
      </c>
      <c r="C224" s="10" t="s">
        <v>24</v>
      </c>
      <c r="D224" s="10" t="s">
        <v>16</v>
      </c>
      <c r="E224" s="1" t="s">
        <v>47</v>
      </c>
      <c r="F224" s="1" t="s">
        <v>45</v>
      </c>
      <c r="G224">
        <v>240000</v>
      </c>
      <c r="H224" s="1">
        <v>1</v>
      </c>
      <c r="I224" s="1" t="s">
        <v>39</v>
      </c>
      <c r="J224" s="1" t="s">
        <v>29</v>
      </c>
      <c r="K224">
        <v>240000</v>
      </c>
    </row>
    <row r="225" spans="1:11" x14ac:dyDescent="0.2">
      <c r="A225" s="2" t="s">
        <v>262</v>
      </c>
      <c r="B225" s="3">
        <v>45669</v>
      </c>
      <c r="C225" s="10" t="s">
        <v>21</v>
      </c>
      <c r="D225" s="10" t="s">
        <v>22</v>
      </c>
      <c r="E225" s="1" t="s">
        <v>47</v>
      </c>
      <c r="F225" s="1" t="s">
        <v>41</v>
      </c>
      <c r="G225">
        <v>75000</v>
      </c>
      <c r="H225" s="1">
        <v>1</v>
      </c>
      <c r="I225" s="1" t="s">
        <v>28</v>
      </c>
      <c r="J225" s="1" t="s">
        <v>29</v>
      </c>
      <c r="K225">
        <v>75000</v>
      </c>
    </row>
    <row r="226" spans="1:11" x14ac:dyDescent="0.2">
      <c r="A226" s="2" t="s">
        <v>263</v>
      </c>
      <c r="B226" s="3">
        <v>45811</v>
      </c>
      <c r="C226" s="10" t="s">
        <v>11</v>
      </c>
      <c r="D226" s="10" t="s">
        <v>12</v>
      </c>
      <c r="E226" s="1" t="s">
        <v>36</v>
      </c>
      <c r="F226" s="1" t="s">
        <v>27</v>
      </c>
      <c r="G226">
        <v>350000</v>
      </c>
      <c r="H226" s="1">
        <v>1</v>
      </c>
      <c r="I226" s="1" t="s">
        <v>39</v>
      </c>
      <c r="J226" s="1" t="s">
        <v>29</v>
      </c>
      <c r="K226">
        <v>350000</v>
      </c>
    </row>
    <row r="227" spans="1:11" x14ac:dyDescent="0.2">
      <c r="A227" s="2" t="s">
        <v>264</v>
      </c>
      <c r="B227" s="3">
        <v>45708</v>
      </c>
      <c r="C227" s="10" t="s">
        <v>15</v>
      </c>
      <c r="D227" s="10" t="s">
        <v>16</v>
      </c>
      <c r="E227" s="1" t="s">
        <v>47</v>
      </c>
      <c r="F227" s="1" t="s">
        <v>45</v>
      </c>
      <c r="G227">
        <v>225000</v>
      </c>
      <c r="H227" s="1">
        <v>1</v>
      </c>
      <c r="I227" s="1" t="s">
        <v>28</v>
      </c>
      <c r="J227" s="1" t="s">
        <v>29</v>
      </c>
      <c r="K227">
        <v>225000</v>
      </c>
    </row>
    <row r="228" spans="1:11" x14ac:dyDescent="0.2">
      <c r="A228" s="2" t="s">
        <v>265</v>
      </c>
      <c r="B228" s="3">
        <v>45796</v>
      </c>
      <c r="C228" s="10" t="s">
        <v>15</v>
      </c>
      <c r="D228" s="10" t="s">
        <v>16</v>
      </c>
      <c r="E228" s="1" t="s">
        <v>36</v>
      </c>
      <c r="F228" s="1" t="s">
        <v>27</v>
      </c>
      <c r="G228">
        <v>225000</v>
      </c>
      <c r="H228" s="1">
        <v>3</v>
      </c>
      <c r="I228" s="1" t="s">
        <v>39</v>
      </c>
      <c r="J228" s="1" t="s">
        <v>29</v>
      </c>
      <c r="K228">
        <v>675000</v>
      </c>
    </row>
    <row r="229" spans="1:11" x14ac:dyDescent="0.2">
      <c r="A229" s="2" t="s">
        <v>266</v>
      </c>
      <c r="B229" s="3">
        <v>45783</v>
      </c>
      <c r="C229" s="10" t="s">
        <v>21</v>
      </c>
      <c r="D229" s="10" t="s">
        <v>22</v>
      </c>
      <c r="E229" s="1" t="s">
        <v>31</v>
      </c>
      <c r="F229" s="1" t="s">
        <v>27</v>
      </c>
      <c r="G229">
        <v>75000</v>
      </c>
      <c r="H229" s="1">
        <v>3</v>
      </c>
      <c r="I229" s="1" t="s">
        <v>39</v>
      </c>
      <c r="J229" s="1" t="s">
        <v>29</v>
      </c>
      <c r="K229">
        <v>225000</v>
      </c>
    </row>
    <row r="230" spans="1:11" x14ac:dyDescent="0.2">
      <c r="A230" s="2" t="s">
        <v>267</v>
      </c>
      <c r="B230" s="3">
        <v>45707</v>
      </c>
      <c r="C230" s="10" t="s">
        <v>15</v>
      </c>
      <c r="D230" s="10" t="s">
        <v>16</v>
      </c>
      <c r="E230" s="1" t="s">
        <v>26</v>
      </c>
      <c r="F230" s="1" t="s">
        <v>45</v>
      </c>
      <c r="G230">
        <v>225000</v>
      </c>
      <c r="H230" s="1">
        <v>1</v>
      </c>
      <c r="I230" s="1" t="s">
        <v>28</v>
      </c>
      <c r="J230" s="1" t="s">
        <v>37</v>
      </c>
      <c r="K230">
        <v>225000</v>
      </c>
    </row>
    <row r="231" spans="1:11" x14ac:dyDescent="0.2">
      <c r="A231" s="2" t="s">
        <v>268</v>
      </c>
      <c r="B231" s="3">
        <v>45706</v>
      </c>
      <c r="C231" s="10" t="s">
        <v>13</v>
      </c>
      <c r="D231" s="10" t="s">
        <v>14</v>
      </c>
      <c r="E231" s="1" t="s">
        <v>47</v>
      </c>
      <c r="F231" s="1" t="s">
        <v>45</v>
      </c>
      <c r="G231">
        <v>275000</v>
      </c>
      <c r="H231" s="1">
        <v>3</v>
      </c>
      <c r="I231" s="1" t="s">
        <v>39</v>
      </c>
      <c r="J231" s="1" t="s">
        <v>29</v>
      </c>
      <c r="K231">
        <v>825000</v>
      </c>
    </row>
    <row r="232" spans="1:11" x14ac:dyDescent="0.2">
      <c r="A232" s="2" t="s">
        <v>269</v>
      </c>
      <c r="B232" s="3">
        <v>45716</v>
      </c>
      <c r="C232" s="10" t="s">
        <v>11</v>
      </c>
      <c r="D232" s="10" t="s">
        <v>12</v>
      </c>
      <c r="E232" s="1" t="s">
        <v>26</v>
      </c>
      <c r="F232" s="1" t="s">
        <v>27</v>
      </c>
      <c r="G232">
        <v>350000</v>
      </c>
      <c r="H232" s="1">
        <v>2</v>
      </c>
      <c r="I232" s="1" t="s">
        <v>28</v>
      </c>
      <c r="J232" s="1" t="s">
        <v>29</v>
      </c>
      <c r="K232">
        <v>700000</v>
      </c>
    </row>
    <row r="233" spans="1:11" x14ac:dyDescent="0.2">
      <c r="A233" s="2" t="s">
        <v>270</v>
      </c>
      <c r="B233" s="3">
        <v>45687</v>
      </c>
      <c r="C233" s="10" t="s">
        <v>11</v>
      </c>
      <c r="D233" s="10" t="s">
        <v>12</v>
      </c>
      <c r="E233" s="1" t="s">
        <v>36</v>
      </c>
      <c r="F233" s="1" t="s">
        <v>45</v>
      </c>
      <c r="G233">
        <v>350000</v>
      </c>
      <c r="H233" s="1">
        <v>3</v>
      </c>
      <c r="I233" s="1" t="s">
        <v>39</v>
      </c>
      <c r="J233" s="1" t="s">
        <v>29</v>
      </c>
      <c r="K233">
        <v>1050000</v>
      </c>
    </row>
    <row r="234" spans="1:11" x14ac:dyDescent="0.2">
      <c r="A234" s="2" t="s">
        <v>271</v>
      </c>
      <c r="B234" s="3">
        <v>45817</v>
      </c>
      <c r="C234" s="10" t="s">
        <v>17</v>
      </c>
      <c r="D234" s="10" t="s">
        <v>18</v>
      </c>
      <c r="E234" s="1" t="s">
        <v>36</v>
      </c>
      <c r="F234" s="1" t="s">
        <v>60</v>
      </c>
      <c r="G234">
        <v>300000</v>
      </c>
      <c r="H234" s="1">
        <v>3</v>
      </c>
      <c r="I234" s="1" t="s">
        <v>28</v>
      </c>
      <c r="J234" s="1" t="s">
        <v>37</v>
      </c>
      <c r="K234">
        <v>900000</v>
      </c>
    </row>
    <row r="235" spans="1:11" x14ac:dyDescent="0.2">
      <c r="A235" s="2" t="s">
        <v>272</v>
      </c>
      <c r="B235" s="3">
        <v>45756</v>
      </c>
      <c r="C235" s="10" t="s">
        <v>13</v>
      </c>
      <c r="D235" s="10" t="s">
        <v>14</v>
      </c>
      <c r="E235" s="1" t="s">
        <v>26</v>
      </c>
      <c r="F235" s="1" t="s">
        <v>27</v>
      </c>
      <c r="G235">
        <v>275000</v>
      </c>
      <c r="H235" s="1">
        <v>3</v>
      </c>
      <c r="I235" s="1" t="s">
        <v>39</v>
      </c>
      <c r="J235" s="1" t="s">
        <v>37</v>
      </c>
      <c r="K235">
        <v>825000</v>
      </c>
    </row>
    <row r="236" spans="1:11" x14ac:dyDescent="0.2">
      <c r="A236" s="2" t="s">
        <v>273</v>
      </c>
      <c r="B236" s="3">
        <v>45778</v>
      </c>
      <c r="C236" s="10" t="s">
        <v>17</v>
      </c>
      <c r="D236" s="10" t="s">
        <v>18</v>
      </c>
      <c r="E236" s="1" t="s">
        <v>26</v>
      </c>
      <c r="F236" s="1" t="s">
        <v>32</v>
      </c>
      <c r="G236">
        <v>300000</v>
      </c>
      <c r="H236" s="1">
        <v>1</v>
      </c>
      <c r="I236" s="1" t="s">
        <v>39</v>
      </c>
      <c r="J236" s="1" t="s">
        <v>37</v>
      </c>
      <c r="K236">
        <v>300000</v>
      </c>
    </row>
    <row r="237" spans="1:11" x14ac:dyDescent="0.2">
      <c r="A237" s="2" t="s">
        <v>274</v>
      </c>
      <c r="B237" s="3">
        <v>45834</v>
      </c>
      <c r="C237" s="10" t="s">
        <v>24</v>
      </c>
      <c r="D237" s="10" t="s">
        <v>16</v>
      </c>
      <c r="E237" s="1" t="s">
        <v>47</v>
      </c>
      <c r="F237" s="1" t="s">
        <v>32</v>
      </c>
      <c r="G237">
        <v>240000</v>
      </c>
      <c r="H237" s="1">
        <v>1</v>
      </c>
      <c r="I237" s="1" t="s">
        <v>28</v>
      </c>
      <c r="J237" s="1" t="s">
        <v>29</v>
      </c>
      <c r="K237">
        <v>240000</v>
      </c>
    </row>
    <row r="238" spans="1:11" x14ac:dyDescent="0.2">
      <c r="A238" s="2" t="s">
        <v>275</v>
      </c>
      <c r="B238" s="3">
        <v>45837</v>
      </c>
      <c r="C238" s="10" t="s">
        <v>11</v>
      </c>
      <c r="D238" s="10" t="s">
        <v>12</v>
      </c>
      <c r="E238" s="1" t="s">
        <v>47</v>
      </c>
      <c r="F238" s="1" t="s">
        <v>60</v>
      </c>
      <c r="G238">
        <v>350000</v>
      </c>
      <c r="H238" s="1">
        <v>1</v>
      </c>
      <c r="I238" s="1" t="s">
        <v>39</v>
      </c>
      <c r="J238" s="1" t="s">
        <v>29</v>
      </c>
      <c r="K238">
        <v>350000</v>
      </c>
    </row>
    <row r="239" spans="1:11" x14ac:dyDescent="0.2">
      <c r="A239" s="2" t="s">
        <v>276</v>
      </c>
      <c r="B239" s="3">
        <v>45773</v>
      </c>
      <c r="C239" s="10" t="s">
        <v>23</v>
      </c>
      <c r="D239" s="10" t="s">
        <v>12</v>
      </c>
      <c r="E239" s="1" t="s">
        <v>47</v>
      </c>
      <c r="F239" s="1" t="s">
        <v>41</v>
      </c>
      <c r="G239">
        <v>375000</v>
      </c>
      <c r="H239" s="1">
        <v>2</v>
      </c>
      <c r="I239" s="1" t="s">
        <v>28</v>
      </c>
      <c r="J239" s="1" t="s">
        <v>29</v>
      </c>
      <c r="K239">
        <v>750000</v>
      </c>
    </row>
    <row r="240" spans="1:11" x14ac:dyDescent="0.2">
      <c r="A240" s="2" t="s">
        <v>277</v>
      </c>
      <c r="B240" s="3">
        <v>45752</v>
      </c>
      <c r="C240" s="10" t="s">
        <v>13</v>
      </c>
      <c r="D240" s="10" t="s">
        <v>14</v>
      </c>
      <c r="E240" s="1" t="s">
        <v>47</v>
      </c>
      <c r="F240" s="1" t="s">
        <v>41</v>
      </c>
      <c r="G240">
        <v>275000</v>
      </c>
      <c r="H240" s="1">
        <v>1</v>
      </c>
      <c r="I240" s="1" t="s">
        <v>28</v>
      </c>
      <c r="J240" s="1" t="s">
        <v>29</v>
      </c>
      <c r="K240">
        <v>275000</v>
      </c>
    </row>
    <row r="241" spans="1:11" x14ac:dyDescent="0.2">
      <c r="A241" s="2" t="s">
        <v>278</v>
      </c>
      <c r="B241" s="3">
        <v>45675</v>
      </c>
      <c r="C241" s="10" t="s">
        <v>11</v>
      </c>
      <c r="D241" s="10" t="s">
        <v>12</v>
      </c>
      <c r="E241" s="1" t="s">
        <v>47</v>
      </c>
      <c r="F241" s="1" t="s">
        <v>34</v>
      </c>
      <c r="G241">
        <v>350000</v>
      </c>
      <c r="H241" s="1">
        <v>1</v>
      </c>
      <c r="I241" s="1" t="s">
        <v>39</v>
      </c>
      <c r="J241" s="1" t="s">
        <v>29</v>
      </c>
      <c r="K241">
        <v>350000</v>
      </c>
    </row>
    <row r="242" spans="1:11" x14ac:dyDescent="0.2">
      <c r="A242" s="2" t="s">
        <v>279</v>
      </c>
      <c r="B242" s="3">
        <v>45694</v>
      </c>
      <c r="C242" s="10" t="s">
        <v>19</v>
      </c>
      <c r="D242" s="10" t="s">
        <v>20</v>
      </c>
      <c r="E242" s="1" t="s">
        <v>36</v>
      </c>
      <c r="F242" s="1" t="s">
        <v>41</v>
      </c>
      <c r="G242">
        <v>250000</v>
      </c>
      <c r="H242" s="1">
        <v>2</v>
      </c>
      <c r="I242" s="1" t="s">
        <v>28</v>
      </c>
      <c r="J242" s="1" t="s">
        <v>37</v>
      </c>
      <c r="K242">
        <v>500000</v>
      </c>
    </row>
    <row r="243" spans="1:11" x14ac:dyDescent="0.2">
      <c r="A243" s="2" t="s">
        <v>280</v>
      </c>
      <c r="B243" s="3">
        <v>45701</v>
      </c>
      <c r="C243" s="10" t="s">
        <v>11</v>
      </c>
      <c r="D243" s="10" t="s">
        <v>12</v>
      </c>
      <c r="E243" s="1" t="s">
        <v>47</v>
      </c>
      <c r="F243" s="1" t="s">
        <v>60</v>
      </c>
      <c r="G243">
        <v>350000</v>
      </c>
      <c r="H243" s="1">
        <v>2</v>
      </c>
      <c r="I243" s="1" t="s">
        <v>28</v>
      </c>
      <c r="J243" s="1" t="s">
        <v>37</v>
      </c>
      <c r="K243">
        <v>700000</v>
      </c>
    </row>
    <row r="244" spans="1:11" x14ac:dyDescent="0.2">
      <c r="A244" s="2" t="s">
        <v>281</v>
      </c>
      <c r="B244" s="3">
        <v>45767</v>
      </c>
      <c r="C244" s="10" t="s">
        <v>21</v>
      </c>
      <c r="D244" s="10" t="s">
        <v>22</v>
      </c>
      <c r="E244" s="1" t="s">
        <v>47</v>
      </c>
      <c r="F244" s="1" t="s">
        <v>27</v>
      </c>
      <c r="G244">
        <v>75000</v>
      </c>
      <c r="H244" s="1">
        <v>2</v>
      </c>
      <c r="I244" s="1" t="s">
        <v>39</v>
      </c>
      <c r="J244" s="1" t="s">
        <v>29</v>
      </c>
      <c r="K244">
        <v>150000</v>
      </c>
    </row>
    <row r="245" spans="1:11" x14ac:dyDescent="0.2">
      <c r="A245" s="2" t="s">
        <v>282</v>
      </c>
      <c r="B245" s="3">
        <v>45728</v>
      </c>
      <c r="C245" s="10" t="s">
        <v>19</v>
      </c>
      <c r="D245" s="10" t="s">
        <v>20</v>
      </c>
      <c r="E245" s="1" t="s">
        <v>31</v>
      </c>
      <c r="F245" s="1" t="s">
        <v>34</v>
      </c>
      <c r="G245">
        <v>250000</v>
      </c>
      <c r="H245" s="1">
        <v>1</v>
      </c>
      <c r="I245" s="1" t="s">
        <v>28</v>
      </c>
      <c r="J245" s="1" t="s">
        <v>37</v>
      </c>
      <c r="K245">
        <v>250000</v>
      </c>
    </row>
    <row r="246" spans="1:11" x14ac:dyDescent="0.2">
      <c r="A246" s="2" t="s">
        <v>283</v>
      </c>
      <c r="B246" s="3">
        <v>45768</v>
      </c>
      <c r="C246" s="10" t="s">
        <v>17</v>
      </c>
      <c r="D246" s="10" t="s">
        <v>18</v>
      </c>
      <c r="E246" s="1" t="s">
        <v>47</v>
      </c>
      <c r="F246" s="1" t="s">
        <v>32</v>
      </c>
      <c r="G246">
        <v>300000</v>
      </c>
      <c r="H246" s="1">
        <v>3</v>
      </c>
      <c r="I246" s="1" t="s">
        <v>28</v>
      </c>
      <c r="J246" s="1" t="s">
        <v>29</v>
      </c>
      <c r="K246">
        <v>900000</v>
      </c>
    </row>
    <row r="247" spans="1:11" x14ac:dyDescent="0.2">
      <c r="A247" s="2" t="s">
        <v>284</v>
      </c>
      <c r="B247" s="3">
        <v>45792</v>
      </c>
      <c r="C247" s="10" t="s">
        <v>21</v>
      </c>
      <c r="D247" s="10" t="s">
        <v>22</v>
      </c>
      <c r="E247" s="1" t="s">
        <v>31</v>
      </c>
      <c r="F247" s="1" t="s">
        <v>60</v>
      </c>
      <c r="G247">
        <v>75000</v>
      </c>
      <c r="H247" s="1">
        <v>2</v>
      </c>
      <c r="I247" s="1" t="s">
        <v>39</v>
      </c>
      <c r="J247" s="1" t="s">
        <v>37</v>
      </c>
      <c r="K247">
        <v>150000</v>
      </c>
    </row>
    <row r="248" spans="1:11" x14ac:dyDescent="0.2">
      <c r="A248" s="2" t="s">
        <v>285</v>
      </c>
      <c r="B248" s="3">
        <v>45699</v>
      </c>
      <c r="C248" s="10" t="s">
        <v>17</v>
      </c>
      <c r="D248" s="10" t="s">
        <v>18</v>
      </c>
      <c r="E248" s="1" t="s">
        <v>47</v>
      </c>
      <c r="F248" s="1" t="s">
        <v>45</v>
      </c>
      <c r="G248">
        <v>300000</v>
      </c>
      <c r="H248" s="1">
        <v>2</v>
      </c>
      <c r="I248" s="1" t="s">
        <v>28</v>
      </c>
      <c r="J248" s="1" t="s">
        <v>37</v>
      </c>
      <c r="K248">
        <v>600000</v>
      </c>
    </row>
    <row r="249" spans="1:11" x14ac:dyDescent="0.2">
      <c r="A249" s="2" t="s">
        <v>286</v>
      </c>
      <c r="B249" s="3">
        <v>45824</v>
      </c>
      <c r="C249" s="10" t="s">
        <v>13</v>
      </c>
      <c r="D249" s="10" t="s">
        <v>14</v>
      </c>
      <c r="E249" s="1" t="s">
        <v>36</v>
      </c>
      <c r="F249" s="1" t="s">
        <v>41</v>
      </c>
      <c r="G249">
        <v>275000</v>
      </c>
      <c r="H249" s="1">
        <v>3</v>
      </c>
      <c r="I249" s="1" t="s">
        <v>39</v>
      </c>
      <c r="J249" s="1" t="s">
        <v>37</v>
      </c>
      <c r="K249">
        <v>825000</v>
      </c>
    </row>
    <row r="250" spans="1:11" x14ac:dyDescent="0.2">
      <c r="A250" s="2" t="s">
        <v>287</v>
      </c>
      <c r="B250" s="3">
        <v>45689</v>
      </c>
      <c r="C250" s="10" t="s">
        <v>24</v>
      </c>
      <c r="D250" s="10" t="s">
        <v>16</v>
      </c>
      <c r="E250" s="1" t="s">
        <v>26</v>
      </c>
      <c r="F250" s="1" t="s">
        <v>32</v>
      </c>
      <c r="G250">
        <v>240000</v>
      </c>
      <c r="H250" s="1">
        <v>1</v>
      </c>
      <c r="I250" s="1" t="s">
        <v>39</v>
      </c>
      <c r="J250" s="1" t="s">
        <v>29</v>
      </c>
      <c r="K250">
        <v>240000</v>
      </c>
    </row>
    <row r="251" spans="1:11" x14ac:dyDescent="0.2">
      <c r="A251" s="2" t="s">
        <v>288</v>
      </c>
      <c r="B251" s="3">
        <v>45690</v>
      </c>
      <c r="C251" s="10" t="s">
        <v>24</v>
      </c>
      <c r="D251" s="10" t="s">
        <v>16</v>
      </c>
      <c r="E251" s="1" t="s">
        <v>47</v>
      </c>
      <c r="F251" s="1" t="s">
        <v>41</v>
      </c>
      <c r="G251">
        <v>240000</v>
      </c>
      <c r="H251" s="1">
        <v>2</v>
      </c>
      <c r="I251" s="1" t="s">
        <v>39</v>
      </c>
      <c r="J251" s="1" t="s">
        <v>29</v>
      </c>
      <c r="K251">
        <v>480000</v>
      </c>
    </row>
    <row r="252" spans="1:11" x14ac:dyDescent="0.2">
      <c r="A252" s="2" t="s">
        <v>289</v>
      </c>
      <c r="B252" s="3">
        <v>45703</v>
      </c>
      <c r="C252" s="10" t="s">
        <v>21</v>
      </c>
      <c r="D252" s="10" t="s">
        <v>22</v>
      </c>
      <c r="E252" s="1" t="s">
        <v>36</v>
      </c>
      <c r="F252" s="1" t="s">
        <v>45</v>
      </c>
      <c r="G252">
        <v>75000</v>
      </c>
      <c r="H252" s="1">
        <v>2</v>
      </c>
      <c r="I252" s="1" t="s">
        <v>39</v>
      </c>
      <c r="J252" s="1" t="s">
        <v>29</v>
      </c>
      <c r="K252">
        <v>150000</v>
      </c>
    </row>
    <row r="253" spans="1:11" x14ac:dyDescent="0.2">
      <c r="A253" s="2" t="s">
        <v>290</v>
      </c>
      <c r="B253" s="3">
        <v>45787</v>
      </c>
      <c r="C253" s="10" t="s">
        <v>21</v>
      </c>
      <c r="D253" s="10" t="s">
        <v>22</v>
      </c>
      <c r="E253" s="1" t="s">
        <v>31</v>
      </c>
      <c r="F253" s="1" t="s">
        <v>45</v>
      </c>
      <c r="G253">
        <v>75000</v>
      </c>
      <c r="H253" s="1">
        <v>2</v>
      </c>
      <c r="I253" s="1" t="s">
        <v>28</v>
      </c>
      <c r="J253" s="1" t="s">
        <v>29</v>
      </c>
      <c r="K253">
        <v>150000</v>
      </c>
    </row>
    <row r="254" spans="1:11" x14ac:dyDescent="0.2">
      <c r="A254" s="2" t="s">
        <v>291</v>
      </c>
      <c r="B254" s="3">
        <v>45779</v>
      </c>
      <c r="C254" s="10" t="s">
        <v>24</v>
      </c>
      <c r="D254" s="10" t="s">
        <v>16</v>
      </c>
      <c r="E254" s="1" t="s">
        <v>31</v>
      </c>
      <c r="F254" s="1" t="s">
        <v>32</v>
      </c>
      <c r="G254">
        <v>240000</v>
      </c>
      <c r="H254" s="1">
        <v>3</v>
      </c>
      <c r="I254" s="1" t="s">
        <v>28</v>
      </c>
      <c r="J254" s="1" t="s">
        <v>37</v>
      </c>
      <c r="K254">
        <v>720000</v>
      </c>
    </row>
    <row r="255" spans="1:11" x14ac:dyDescent="0.2">
      <c r="A255" s="2" t="s">
        <v>292</v>
      </c>
      <c r="B255" s="3">
        <v>45745</v>
      </c>
      <c r="C255" s="10" t="s">
        <v>17</v>
      </c>
      <c r="D255" s="10" t="s">
        <v>18</v>
      </c>
      <c r="E255" s="1" t="s">
        <v>26</v>
      </c>
      <c r="F255" s="1" t="s">
        <v>60</v>
      </c>
      <c r="G255">
        <v>300000</v>
      </c>
      <c r="H255" s="1">
        <v>2</v>
      </c>
      <c r="I255" s="1" t="s">
        <v>39</v>
      </c>
      <c r="J255" s="1" t="s">
        <v>37</v>
      </c>
      <c r="K255">
        <v>600000</v>
      </c>
    </row>
    <row r="256" spans="1:11" x14ac:dyDescent="0.2">
      <c r="A256" s="2" t="s">
        <v>293</v>
      </c>
      <c r="B256" s="3">
        <v>45719</v>
      </c>
      <c r="C256" s="10" t="s">
        <v>19</v>
      </c>
      <c r="D256" s="10" t="s">
        <v>20</v>
      </c>
      <c r="E256" s="1" t="s">
        <v>31</v>
      </c>
      <c r="F256" s="1" t="s">
        <v>60</v>
      </c>
      <c r="G256">
        <v>250000</v>
      </c>
      <c r="H256" s="1">
        <v>3</v>
      </c>
      <c r="I256" s="1" t="s">
        <v>39</v>
      </c>
      <c r="J256" s="1" t="s">
        <v>29</v>
      </c>
      <c r="K256">
        <v>750000</v>
      </c>
    </row>
    <row r="257" spans="1:11" x14ac:dyDescent="0.2">
      <c r="A257" s="2" t="s">
        <v>294</v>
      </c>
      <c r="B257" s="3">
        <v>45711</v>
      </c>
      <c r="C257" s="10" t="s">
        <v>21</v>
      </c>
      <c r="D257" s="10" t="s">
        <v>22</v>
      </c>
      <c r="E257" s="1" t="s">
        <v>36</v>
      </c>
      <c r="F257" s="1" t="s">
        <v>45</v>
      </c>
      <c r="G257">
        <v>75000</v>
      </c>
      <c r="H257" s="1">
        <v>2</v>
      </c>
      <c r="I257" s="1" t="s">
        <v>39</v>
      </c>
      <c r="J257" s="1" t="s">
        <v>37</v>
      </c>
      <c r="K257">
        <v>150000</v>
      </c>
    </row>
    <row r="258" spans="1:11" x14ac:dyDescent="0.2">
      <c r="A258" s="2" t="s">
        <v>295</v>
      </c>
      <c r="B258" s="3">
        <v>45830</v>
      </c>
      <c r="C258" s="10" t="s">
        <v>11</v>
      </c>
      <c r="D258" s="10" t="s">
        <v>12</v>
      </c>
      <c r="E258" s="1" t="s">
        <v>26</v>
      </c>
      <c r="F258" s="1" t="s">
        <v>27</v>
      </c>
      <c r="G258">
        <v>350000</v>
      </c>
      <c r="H258" s="1">
        <v>1</v>
      </c>
      <c r="I258" s="1" t="s">
        <v>28</v>
      </c>
      <c r="J258" s="1" t="s">
        <v>29</v>
      </c>
      <c r="K258">
        <v>350000</v>
      </c>
    </row>
    <row r="259" spans="1:11" x14ac:dyDescent="0.2">
      <c r="A259" s="2" t="s">
        <v>296</v>
      </c>
      <c r="B259" s="3">
        <v>45813</v>
      </c>
      <c r="C259" s="10" t="s">
        <v>15</v>
      </c>
      <c r="D259" s="10" t="s">
        <v>16</v>
      </c>
      <c r="E259" s="1" t="s">
        <v>36</v>
      </c>
      <c r="F259" s="1" t="s">
        <v>34</v>
      </c>
      <c r="G259">
        <v>225000</v>
      </c>
      <c r="H259" s="1">
        <v>3</v>
      </c>
      <c r="I259" s="1" t="s">
        <v>39</v>
      </c>
      <c r="J259" s="1" t="s">
        <v>29</v>
      </c>
      <c r="K259">
        <v>675000</v>
      </c>
    </row>
    <row r="260" spans="1:11" x14ac:dyDescent="0.2">
      <c r="A260" s="2" t="s">
        <v>297</v>
      </c>
      <c r="B260" s="3">
        <v>45837</v>
      </c>
      <c r="C260" s="10" t="s">
        <v>15</v>
      </c>
      <c r="D260" s="10" t="s">
        <v>16</v>
      </c>
      <c r="E260" s="1" t="s">
        <v>47</v>
      </c>
      <c r="F260" s="1" t="s">
        <v>32</v>
      </c>
      <c r="G260">
        <v>225000</v>
      </c>
      <c r="H260" s="1">
        <v>2</v>
      </c>
      <c r="I260" s="1" t="s">
        <v>28</v>
      </c>
      <c r="J260" s="1" t="s">
        <v>29</v>
      </c>
      <c r="K260">
        <v>450000</v>
      </c>
    </row>
    <row r="261" spans="1:11" x14ac:dyDescent="0.2">
      <c r="A261" s="2" t="s">
        <v>298</v>
      </c>
      <c r="B261" s="3">
        <v>45737</v>
      </c>
      <c r="C261" s="10" t="s">
        <v>19</v>
      </c>
      <c r="D261" s="10" t="s">
        <v>20</v>
      </c>
      <c r="E261" s="1" t="s">
        <v>47</v>
      </c>
      <c r="F261" s="1" t="s">
        <v>32</v>
      </c>
      <c r="G261">
        <v>250000</v>
      </c>
      <c r="H261" s="1">
        <v>1</v>
      </c>
      <c r="I261" s="1" t="s">
        <v>28</v>
      </c>
      <c r="J261" s="1" t="s">
        <v>29</v>
      </c>
      <c r="K261">
        <v>250000</v>
      </c>
    </row>
    <row r="262" spans="1:11" x14ac:dyDescent="0.2">
      <c r="A262" s="2" t="s">
        <v>299</v>
      </c>
      <c r="B262" s="3">
        <v>45758</v>
      </c>
      <c r="C262" s="10" t="s">
        <v>23</v>
      </c>
      <c r="D262" s="10" t="s">
        <v>12</v>
      </c>
      <c r="E262" s="1" t="s">
        <v>26</v>
      </c>
      <c r="F262" s="1" t="s">
        <v>41</v>
      </c>
      <c r="G262">
        <v>375000</v>
      </c>
      <c r="H262" s="1">
        <v>1</v>
      </c>
      <c r="I262" s="1" t="s">
        <v>28</v>
      </c>
      <c r="J262" s="1" t="s">
        <v>37</v>
      </c>
      <c r="K262">
        <v>375000</v>
      </c>
    </row>
    <row r="263" spans="1:11" x14ac:dyDescent="0.2">
      <c r="A263" s="2" t="s">
        <v>300</v>
      </c>
      <c r="B263" s="3">
        <v>45760</v>
      </c>
      <c r="C263" s="10" t="s">
        <v>21</v>
      </c>
      <c r="D263" s="10" t="s">
        <v>22</v>
      </c>
      <c r="E263" s="1" t="s">
        <v>47</v>
      </c>
      <c r="F263" s="1" t="s">
        <v>45</v>
      </c>
      <c r="G263">
        <v>75000</v>
      </c>
      <c r="H263" s="1">
        <v>2</v>
      </c>
      <c r="I263" s="1" t="s">
        <v>39</v>
      </c>
      <c r="J263" s="1" t="s">
        <v>37</v>
      </c>
      <c r="K263">
        <v>150000</v>
      </c>
    </row>
    <row r="264" spans="1:11" x14ac:dyDescent="0.2">
      <c r="A264" s="2" t="s">
        <v>301</v>
      </c>
      <c r="B264" s="3">
        <v>45742</v>
      </c>
      <c r="C264" s="10" t="s">
        <v>15</v>
      </c>
      <c r="D264" s="10" t="s">
        <v>16</v>
      </c>
      <c r="E264" s="1" t="s">
        <v>36</v>
      </c>
      <c r="F264" s="1" t="s">
        <v>41</v>
      </c>
      <c r="G264">
        <v>225000</v>
      </c>
      <c r="H264" s="1">
        <v>2</v>
      </c>
      <c r="I264" s="1" t="s">
        <v>39</v>
      </c>
      <c r="J264" s="1" t="s">
        <v>29</v>
      </c>
      <c r="K264">
        <v>450000</v>
      </c>
    </row>
    <row r="265" spans="1:11" x14ac:dyDescent="0.2">
      <c r="A265" s="2" t="s">
        <v>302</v>
      </c>
      <c r="B265" s="3">
        <v>45754</v>
      </c>
      <c r="C265" s="10" t="s">
        <v>23</v>
      </c>
      <c r="D265" s="10" t="s">
        <v>12</v>
      </c>
      <c r="E265" s="1" t="s">
        <v>31</v>
      </c>
      <c r="F265" s="1" t="s">
        <v>41</v>
      </c>
      <c r="G265">
        <v>375000</v>
      </c>
      <c r="H265" s="1">
        <v>3</v>
      </c>
      <c r="I265" s="1" t="s">
        <v>39</v>
      </c>
      <c r="J265" s="1" t="s">
        <v>29</v>
      </c>
      <c r="K265">
        <v>1125000</v>
      </c>
    </row>
    <row r="266" spans="1:11" x14ac:dyDescent="0.2">
      <c r="A266" s="2" t="s">
        <v>303</v>
      </c>
      <c r="B266" s="3">
        <v>45723</v>
      </c>
      <c r="C266" s="10" t="s">
        <v>17</v>
      </c>
      <c r="D266" s="10" t="s">
        <v>18</v>
      </c>
      <c r="E266" s="1" t="s">
        <v>47</v>
      </c>
      <c r="F266" s="1" t="s">
        <v>60</v>
      </c>
      <c r="G266">
        <v>300000</v>
      </c>
      <c r="H266" s="1">
        <v>3</v>
      </c>
      <c r="I266" s="1" t="s">
        <v>28</v>
      </c>
      <c r="J266" s="1" t="s">
        <v>29</v>
      </c>
      <c r="K266">
        <v>900000</v>
      </c>
    </row>
    <row r="267" spans="1:11" x14ac:dyDescent="0.2">
      <c r="A267" s="2" t="s">
        <v>304</v>
      </c>
      <c r="B267" s="3">
        <v>45816</v>
      </c>
      <c r="C267" s="10" t="s">
        <v>21</v>
      </c>
      <c r="D267" s="10" t="s">
        <v>22</v>
      </c>
      <c r="E267" s="1" t="s">
        <v>47</v>
      </c>
      <c r="F267" s="1" t="s">
        <v>60</v>
      </c>
      <c r="G267">
        <v>75000</v>
      </c>
      <c r="H267" s="1">
        <v>3</v>
      </c>
      <c r="I267" s="1" t="s">
        <v>39</v>
      </c>
      <c r="J267" s="1" t="s">
        <v>29</v>
      </c>
      <c r="K267">
        <v>225000</v>
      </c>
    </row>
    <row r="268" spans="1:11" x14ac:dyDescent="0.2">
      <c r="A268" s="2" t="s">
        <v>305</v>
      </c>
      <c r="B268" s="3">
        <v>45728</v>
      </c>
      <c r="C268" s="10" t="s">
        <v>21</v>
      </c>
      <c r="D268" s="10" t="s">
        <v>22</v>
      </c>
      <c r="E268" s="1" t="s">
        <v>36</v>
      </c>
      <c r="F268" s="1" t="s">
        <v>45</v>
      </c>
      <c r="G268">
        <v>75000</v>
      </c>
      <c r="H268" s="1">
        <v>3</v>
      </c>
      <c r="I268" s="1" t="s">
        <v>39</v>
      </c>
      <c r="J268" s="1" t="s">
        <v>29</v>
      </c>
      <c r="K268">
        <v>225000</v>
      </c>
    </row>
    <row r="269" spans="1:11" x14ac:dyDescent="0.2">
      <c r="A269" s="2" t="s">
        <v>306</v>
      </c>
      <c r="B269" s="3">
        <v>45730</v>
      </c>
      <c r="C269" s="10" t="s">
        <v>24</v>
      </c>
      <c r="D269" s="10" t="s">
        <v>16</v>
      </c>
      <c r="E269" s="1" t="s">
        <v>31</v>
      </c>
      <c r="F269" s="1" t="s">
        <v>41</v>
      </c>
      <c r="G269">
        <v>240000</v>
      </c>
      <c r="H269" s="1">
        <v>2</v>
      </c>
      <c r="I269" s="1" t="s">
        <v>28</v>
      </c>
      <c r="J269" s="1" t="s">
        <v>29</v>
      </c>
      <c r="K269">
        <v>480000</v>
      </c>
    </row>
    <row r="270" spans="1:11" x14ac:dyDescent="0.2">
      <c r="A270" s="2" t="s">
        <v>307</v>
      </c>
      <c r="B270" s="3">
        <v>45687</v>
      </c>
      <c r="C270" s="10" t="s">
        <v>21</v>
      </c>
      <c r="D270" s="10" t="s">
        <v>22</v>
      </c>
      <c r="E270" s="1" t="s">
        <v>47</v>
      </c>
      <c r="F270" s="1" t="s">
        <v>45</v>
      </c>
      <c r="G270">
        <v>75000</v>
      </c>
      <c r="H270" s="1">
        <v>1</v>
      </c>
      <c r="I270" s="1" t="s">
        <v>39</v>
      </c>
      <c r="J270" s="1" t="s">
        <v>29</v>
      </c>
      <c r="K270">
        <v>75000</v>
      </c>
    </row>
    <row r="271" spans="1:11" x14ac:dyDescent="0.2">
      <c r="A271" s="2" t="s">
        <v>308</v>
      </c>
      <c r="B271" s="3">
        <v>45778</v>
      </c>
      <c r="C271" s="10" t="s">
        <v>11</v>
      </c>
      <c r="D271" s="10" t="s">
        <v>12</v>
      </c>
      <c r="E271" s="1" t="s">
        <v>36</v>
      </c>
      <c r="F271" s="1" t="s">
        <v>41</v>
      </c>
      <c r="G271">
        <v>350000</v>
      </c>
      <c r="H271" s="1">
        <v>2</v>
      </c>
      <c r="I271" s="1" t="s">
        <v>39</v>
      </c>
      <c r="J271" s="1" t="s">
        <v>37</v>
      </c>
      <c r="K271">
        <v>700000</v>
      </c>
    </row>
    <row r="272" spans="1:11" x14ac:dyDescent="0.2">
      <c r="A272" s="2" t="s">
        <v>309</v>
      </c>
      <c r="B272" s="3">
        <v>45813</v>
      </c>
      <c r="C272" s="10" t="s">
        <v>13</v>
      </c>
      <c r="D272" s="10" t="s">
        <v>14</v>
      </c>
      <c r="E272" s="1" t="s">
        <v>47</v>
      </c>
      <c r="F272" s="1" t="s">
        <v>45</v>
      </c>
      <c r="G272">
        <v>275000</v>
      </c>
      <c r="H272" s="1">
        <v>2</v>
      </c>
      <c r="I272" s="1" t="s">
        <v>28</v>
      </c>
      <c r="J272" s="1" t="s">
        <v>29</v>
      </c>
      <c r="K272">
        <v>550000</v>
      </c>
    </row>
    <row r="273" spans="1:11" x14ac:dyDescent="0.2">
      <c r="A273" s="2" t="s">
        <v>310</v>
      </c>
      <c r="B273" s="3">
        <v>45723</v>
      </c>
      <c r="C273" s="10" t="s">
        <v>11</v>
      </c>
      <c r="D273" s="10" t="s">
        <v>12</v>
      </c>
      <c r="E273" s="1" t="s">
        <v>36</v>
      </c>
      <c r="F273" s="1" t="s">
        <v>60</v>
      </c>
      <c r="G273">
        <v>350000</v>
      </c>
      <c r="H273" s="1">
        <v>3</v>
      </c>
      <c r="I273" s="1" t="s">
        <v>39</v>
      </c>
      <c r="J273" s="1" t="s">
        <v>29</v>
      </c>
      <c r="K273">
        <v>1050000</v>
      </c>
    </row>
    <row r="274" spans="1:11" x14ac:dyDescent="0.2">
      <c r="A274" s="2" t="s">
        <v>311</v>
      </c>
      <c r="B274" s="3">
        <v>45767</v>
      </c>
      <c r="C274" s="10" t="s">
        <v>23</v>
      </c>
      <c r="D274" s="10" t="s">
        <v>12</v>
      </c>
      <c r="E274" s="1" t="s">
        <v>36</v>
      </c>
      <c r="F274" s="1" t="s">
        <v>34</v>
      </c>
      <c r="G274">
        <v>375000</v>
      </c>
      <c r="H274" s="1">
        <v>3</v>
      </c>
      <c r="I274" s="1" t="s">
        <v>28</v>
      </c>
      <c r="J274" s="1" t="s">
        <v>37</v>
      </c>
      <c r="K274">
        <v>1125000</v>
      </c>
    </row>
    <row r="275" spans="1:11" x14ac:dyDescent="0.2">
      <c r="A275" s="2" t="s">
        <v>312</v>
      </c>
      <c r="B275" s="3">
        <v>45673</v>
      </c>
      <c r="C275" s="10" t="s">
        <v>15</v>
      </c>
      <c r="D275" s="10" t="s">
        <v>16</v>
      </c>
      <c r="E275" s="1" t="s">
        <v>47</v>
      </c>
      <c r="F275" s="1" t="s">
        <v>41</v>
      </c>
      <c r="G275">
        <v>225000</v>
      </c>
      <c r="H275" s="1">
        <v>1</v>
      </c>
      <c r="I275" s="1" t="s">
        <v>39</v>
      </c>
      <c r="J275" s="1" t="s">
        <v>37</v>
      </c>
      <c r="K275">
        <v>225000</v>
      </c>
    </row>
    <row r="276" spans="1:11" x14ac:dyDescent="0.2">
      <c r="A276" s="2" t="s">
        <v>313</v>
      </c>
      <c r="B276" s="3">
        <v>45715</v>
      </c>
      <c r="C276" s="10" t="s">
        <v>24</v>
      </c>
      <c r="D276" s="10" t="s">
        <v>16</v>
      </c>
      <c r="E276" s="1" t="s">
        <v>36</v>
      </c>
      <c r="F276" s="1" t="s">
        <v>41</v>
      </c>
      <c r="G276">
        <v>240000</v>
      </c>
      <c r="H276" s="1">
        <v>3</v>
      </c>
      <c r="I276" s="1" t="s">
        <v>39</v>
      </c>
      <c r="J276" s="1" t="s">
        <v>37</v>
      </c>
      <c r="K276">
        <v>720000</v>
      </c>
    </row>
    <row r="277" spans="1:11" x14ac:dyDescent="0.2">
      <c r="A277" s="2" t="s">
        <v>314</v>
      </c>
      <c r="B277" s="3">
        <v>45761</v>
      </c>
      <c r="C277" s="10" t="s">
        <v>19</v>
      </c>
      <c r="D277" s="10" t="s">
        <v>20</v>
      </c>
      <c r="E277" s="1" t="s">
        <v>31</v>
      </c>
      <c r="F277" s="1" t="s">
        <v>32</v>
      </c>
      <c r="G277">
        <v>250000</v>
      </c>
      <c r="H277" s="1">
        <v>2</v>
      </c>
      <c r="I277" s="1" t="s">
        <v>39</v>
      </c>
      <c r="J277" s="1" t="s">
        <v>37</v>
      </c>
      <c r="K277">
        <v>500000</v>
      </c>
    </row>
    <row r="278" spans="1:11" x14ac:dyDescent="0.2">
      <c r="A278" s="2" t="s">
        <v>315</v>
      </c>
      <c r="B278" s="3">
        <v>45704</v>
      </c>
      <c r="C278" s="10" t="s">
        <v>15</v>
      </c>
      <c r="D278" s="10" t="s">
        <v>16</v>
      </c>
      <c r="E278" s="1" t="s">
        <v>36</v>
      </c>
      <c r="F278" s="1" t="s">
        <v>34</v>
      </c>
      <c r="G278">
        <v>225000</v>
      </c>
      <c r="H278" s="1">
        <v>2</v>
      </c>
      <c r="I278" s="1" t="s">
        <v>28</v>
      </c>
      <c r="J278" s="1" t="s">
        <v>29</v>
      </c>
      <c r="K278">
        <v>450000</v>
      </c>
    </row>
    <row r="279" spans="1:11" x14ac:dyDescent="0.2">
      <c r="A279" s="2" t="s">
        <v>316</v>
      </c>
      <c r="B279" s="3">
        <v>45684</v>
      </c>
      <c r="C279" s="10" t="s">
        <v>19</v>
      </c>
      <c r="D279" s="10" t="s">
        <v>20</v>
      </c>
      <c r="E279" s="1" t="s">
        <v>36</v>
      </c>
      <c r="F279" s="1" t="s">
        <v>45</v>
      </c>
      <c r="G279">
        <v>250000</v>
      </c>
      <c r="H279" s="1">
        <v>2</v>
      </c>
      <c r="I279" s="1" t="s">
        <v>39</v>
      </c>
      <c r="J279" s="1" t="s">
        <v>29</v>
      </c>
      <c r="K279">
        <v>500000</v>
      </c>
    </row>
    <row r="280" spans="1:11" x14ac:dyDescent="0.2">
      <c r="A280" s="2" t="s">
        <v>317</v>
      </c>
      <c r="B280" s="3">
        <v>45725</v>
      </c>
      <c r="C280" s="10" t="s">
        <v>17</v>
      </c>
      <c r="D280" s="10" t="s">
        <v>18</v>
      </c>
      <c r="E280" s="1" t="s">
        <v>47</v>
      </c>
      <c r="F280" s="1" t="s">
        <v>45</v>
      </c>
      <c r="G280">
        <v>300000</v>
      </c>
      <c r="H280" s="1">
        <v>1</v>
      </c>
      <c r="I280" s="1" t="s">
        <v>39</v>
      </c>
      <c r="J280" s="1" t="s">
        <v>29</v>
      </c>
      <c r="K280">
        <v>300000</v>
      </c>
    </row>
    <row r="281" spans="1:11" x14ac:dyDescent="0.2">
      <c r="A281" s="2" t="s">
        <v>318</v>
      </c>
      <c r="B281" s="3">
        <v>45763</v>
      </c>
      <c r="C281" s="10" t="s">
        <v>24</v>
      </c>
      <c r="D281" s="10" t="s">
        <v>16</v>
      </c>
      <c r="E281" s="1" t="s">
        <v>36</v>
      </c>
      <c r="F281" s="1" t="s">
        <v>60</v>
      </c>
      <c r="G281">
        <v>240000</v>
      </c>
      <c r="H281" s="1">
        <v>2</v>
      </c>
      <c r="I281" s="1" t="s">
        <v>39</v>
      </c>
      <c r="J281" s="1" t="s">
        <v>29</v>
      </c>
      <c r="K281">
        <v>480000</v>
      </c>
    </row>
    <row r="282" spans="1:11" x14ac:dyDescent="0.2">
      <c r="A282" s="2" t="s">
        <v>319</v>
      </c>
      <c r="B282" s="3">
        <v>45767</v>
      </c>
      <c r="C282" s="10" t="s">
        <v>17</v>
      </c>
      <c r="D282" s="10" t="s">
        <v>18</v>
      </c>
      <c r="E282" s="1" t="s">
        <v>31</v>
      </c>
      <c r="F282" s="1" t="s">
        <v>45</v>
      </c>
      <c r="G282">
        <v>300000</v>
      </c>
      <c r="H282" s="1">
        <v>3</v>
      </c>
      <c r="I282" s="1" t="s">
        <v>39</v>
      </c>
      <c r="J282" s="1" t="s">
        <v>29</v>
      </c>
      <c r="K282">
        <v>900000</v>
      </c>
    </row>
    <row r="283" spans="1:11" x14ac:dyDescent="0.2">
      <c r="A283" s="2" t="s">
        <v>320</v>
      </c>
      <c r="B283" s="3">
        <v>45769</v>
      </c>
      <c r="C283" s="10" t="s">
        <v>19</v>
      </c>
      <c r="D283" s="10" t="s">
        <v>20</v>
      </c>
      <c r="E283" s="1" t="s">
        <v>31</v>
      </c>
      <c r="F283" s="1" t="s">
        <v>32</v>
      </c>
      <c r="G283">
        <v>250000</v>
      </c>
      <c r="H283" s="1">
        <v>2</v>
      </c>
      <c r="I283" s="1" t="s">
        <v>28</v>
      </c>
      <c r="J283" s="1" t="s">
        <v>37</v>
      </c>
      <c r="K283">
        <v>500000</v>
      </c>
    </row>
    <row r="284" spans="1:11" x14ac:dyDescent="0.2">
      <c r="A284" s="2" t="s">
        <v>321</v>
      </c>
      <c r="B284" s="3">
        <v>45767</v>
      </c>
      <c r="C284" s="10" t="s">
        <v>17</v>
      </c>
      <c r="D284" s="10" t="s">
        <v>18</v>
      </c>
      <c r="E284" s="1" t="s">
        <v>26</v>
      </c>
      <c r="F284" s="1" t="s">
        <v>41</v>
      </c>
      <c r="G284">
        <v>300000</v>
      </c>
      <c r="H284" s="1">
        <v>3</v>
      </c>
      <c r="I284" s="1" t="s">
        <v>28</v>
      </c>
      <c r="J284" s="1" t="s">
        <v>29</v>
      </c>
      <c r="K284">
        <v>900000</v>
      </c>
    </row>
    <row r="285" spans="1:11" x14ac:dyDescent="0.2">
      <c r="A285" s="2" t="s">
        <v>322</v>
      </c>
      <c r="B285" s="3">
        <v>45672</v>
      </c>
      <c r="C285" s="10" t="s">
        <v>15</v>
      </c>
      <c r="D285" s="10" t="s">
        <v>16</v>
      </c>
      <c r="E285" s="1" t="s">
        <v>36</v>
      </c>
      <c r="F285" s="1" t="s">
        <v>34</v>
      </c>
      <c r="G285">
        <v>225000</v>
      </c>
      <c r="H285" s="1">
        <v>3</v>
      </c>
      <c r="I285" s="1" t="s">
        <v>28</v>
      </c>
      <c r="J285" s="1" t="s">
        <v>29</v>
      </c>
      <c r="K285">
        <v>675000</v>
      </c>
    </row>
    <row r="286" spans="1:11" x14ac:dyDescent="0.2">
      <c r="A286" s="2" t="s">
        <v>323</v>
      </c>
      <c r="B286" s="3">
        <v>45690</v>
      </c>
      <c r="C286" s="10" t="s">
        <v>21</v>
      </c>
      <c r="D286" s="10" t="s">
        <v>22</v>
      </c>
      <c r="E286" s="1" t="s">
        <v>26</v>
      </c>
      <c r="F286" s="1" t="s">
        <v>32</v>
      </c>
      <c r="G286">
        <v>75000</v>
      </c>
      <c r="H286" s="1">
        <v>3</v>
      </c>
      <c r="I286" s="1" t="s">
        <v>28</v>
      </c>
      <c r="J286" s="1" t="s">
        <v>37</v>
      </c>
      <c r="K286">
        <v>225000</v>
      </c>
    </row>
    <row r="287" spans="1:11" x14ac:dyDescent="0.2">
      <c r="A287" s="2" t="s">
        <v>324</v>
      </c>
      <c r="B287" s="3">
        <v>45763</v>
      </c>
      <c r="C287" s="10" t="s">
        <v>21</v>
      </c>
      <c r="D287" s="10" t="s">
        <v>22</v>
      </c>
      <c r="E287" s="1" t="s">
        <v>47</v>
      </c>
      <c r="F287" s="1" t="s">
        <v>45</v>
      </c>
      <c r="G287">
        <v>75000</v>
      </c>
      <c r="H287" s="1">
        <v>3</v>
      </c>
      <c r="I287" s="1" t="s">
        <v>39</v>
      </c>
      <c r="J287" s="1" t="s">
        <v>37</v>
      </c>
      <c r="K287">
        <v>225000</v>
      </c>
    </row>
    <row r="288" spans="1:11" x14ac:dyDescent="0.2">
      <c r="A288" s="2" t="s">
        <v>325</v>
      </c>
      <c r="B288" s="3">
        <v>45800</v>
      </c>
      <c r="C288" s="10" t="s">
        <v>11</v>
      </c>
      <c r="D288" s="10" t="s">
        <v>12</v>
      </c>
      <c r="E288" s="1" t="s">
        <v>36</v>
      </c>
      <c r="F288" s="1" t="s">
        <v>34</v>
      </c>
      <c r="G288">
        <v>350000</v>
      </c>
      <c r="H288" s="1">
        <v>1</v>
      </c>
      <c r="I288" s="1" t="s">
        <v>39</v>
      </c>
      <c r="J288" s="1" t="s">
        <v>37</v>
      </c>
      <c r="K288">
        <v>350000</v>
      </c>
    </row>
    <row r="289" spans="1:11" x14ac:dyDescent="0.2">
      <c r="A289" s="2" t="s">
        <v>326</v>
      </c>
      <c r="B289" s="3">
        <v>45708</v>
      </c>
      <c r="C289" s="10" t="s">
        <v>11</v>
      </c>
      <c r="D289" s="10" t="s">
        <v>12</v>
      </c>
      <c r="E289" s="1" t="s">
        <v>36</v>
      </c>
      <c r="F289" s="1" t="s">
        <v>60</v>
      </c>
      <c r="G289">
        <v>350000</v>
      </c>
      <c r="H289" s="1">
        <v>3</v>
      </c>
      <c r="I289" s="1" t="s">
        <v>28</v>
      </c>
      <c r="J289" s="1" t="s">
        <v>37</v>
      </c>
      <c r="K289">
        <v>1050000</v>
      </c>
    </row>
    <row r="290" spans="1:11" x14ac:dyDescent="0.2">
      <c r="A290" s="2" t="s">
        <v>327</v>
      </c>
      <c r="B290" s="3">
        <v>45759</v>
      </c>
      <c r="C290" s="10" t="s">
        <v>13</v>
      </c>
      <c r="D290" s="10" t="s">
        <v>14</v>
      </c>
      <c r="E290" s="1" t="s">
        <v>36</v>
      </c>
      <c r="F290" s="1" t="s">
        <v>32</v>
      </c>
      <c r="G290">
        <v>275000</v>
      </c>
      <c r="H290" s="1">
        <v>1</v>
      </c>
      <c r="I290" s="1" t="s">
        <v>28</v>
      </c>
      <c r="J290" s="1" t="s">
        <v>37</v>
      </c>
      <c r="K290">
        <v>275000</v>
      </c>
    </row>
    <row r="291" spans="1:11" x14ac:dyDescent="0.2">
      <c r="A291" s="2" t="s">
        <v>328</v>
      </c>
      <c r="B291" s="3">
        <v>45670</v>
      </c>
      <c r="C291" s="10" t="s">
        <v>23</v>
      </c>
      <c r="D291" s="10" t="s">
        <v>12</v>
      </c>
      <c r="E291" s="1" t="s">
        <v>31</v>
      </c>
      <c r="F291" s="1" t="s">
        <v>60</v>
      </c>
      <c r="G291">
        <v>375000</v>
      </c>
      <c r="H291" s="1">
        <v>2</v>
      </c>
      <c r="I291" s="1" t="s">
        <v>28</v>
      </c>
      <c r="J291" s="1" t="s">
        <v>29</v>
      </c>
      <c r="K291">
        <v>750000</v>
      </c>
    </row>
    <row r="292" spans="1:11" x14ac:dyDescent="0.2">
      <c r="A292" s="2" t="s">
        <v>329</v>
      </c>
      <c r="B292" s="3">
        <v>45788</v>
      </c>
      <c r="C292" s="10" t="s">
        <v>15</v>
      </c>
      <c r="D292" s="10" t="s">
        <v>16</v>
      </c>
      <c r="E292" s="1" t="s">
        <v>47</v>
      </c>
      <c r="F292" s="1" t="s">
        <v>41</v>
      </c>
      <c r="G292">
        <v>225000</v>
      </c>
      <c r="H292" s="1">
        <v>1</v>
      </c>
      <c r="I292" s="1" t="s">
        <v>28</v>
      </c>
      <c r="J292" s="1" t="s">
        <v>29</v>
      </c>
      <c r="K292">
        <v>225000</v>
      </c>
    </row>
    <row r="293" spans="1:11" x14ac:dyDescent="0.2">
      <c r="A293" s="2" t="s">
        <v>330</v>
      </c>
      <c r="B293" s="3">
        <v>45720</v>
      </c>
      <c r="C293" s="10" t="s">
        <v>24</v>
      </c>
      <c r="D293" s="10" t="s">
        <v>16</v>
      </c>
      <c r="E293" s="1" t="s">
        <v>36</v>
      </c>
      <c r="F293" s="1" t="s">
        <v>41</v>
      </c>
      <c r="G293">
        <v>240000</v>
      </c>
      <c r="H293" s="1">
        <v>3</v>
      </c>
      <c r="I293" s="1" t="s">
        <v>28</v>
      </c>
      <c r="J293" s="1" t="s">
        <v>37</v>
      </c>
      <c r="K293">
        <v>720000</v>
      </c>
    </row>
    <row r="294" spans="1:11" x14ac:dyDescent="0.2">
      <c r="A294" s="2" t="s">
        <v>331</v>
      </c>
      <c r="B294" s="3">
        <v>45759</v>
      </c>
      <c r="C294" s="10" t="s">
        <v>23</v>
      </c>
      <c r="D294" s="10" t="s">
        <v>12</v>
      </c>
      <c r="E294" s="1" t="s">
        <v>26</v>
      </c>
      <c r="F294" s="1" t="s">
        <v>32</v>
      </c>
      <c r="G294">
        <v>375000</v>
      </c>
      <c r="H294" s="1">
        <v>1</v>
      </c>
      <c r="I294" s="1" t="s">
        <v>28</v>
      </c>
      <c r="J294" s="1" t="s">
        <v>29</v>
      </c>
      <c r="K294">
        <v>375000</v>
      </c>
    </row>
    <row r="295" spans="1:11" x14ac:dyDescent="0.2">
      <c r="A295" s="2" t="s">
        <v>332</v>
      </c>
      <c r="B295" s="3">
        <v>45696</v>
      </c>
      <c r="C295" s="10" t="s">
        <v>11</v>
      </c>
      <c r="D295" s="10" t="s">
        <v>12</v>
      </c>
      <c r="E295" s="1" t="s">
        <v>26</v>
      </c>
      <c r="F295" s="1" t="s">
        <v>45</v>
      </c>
      <c r="G295">
        <v>350000</v>
      </c>
      <c r="H295" s="1">
        <v>2</v>
      </c>
      <c r="I295" s="1" t="s">
        <v>28</v>
      </c>
      <c r="J295" s="1" t="s">
        <v>37</v>
      </c>
      <c r="K295">
        <v>700000</v>
      </c>
    </row>
    <row r="296" spans="1:11" x14ac:dyDescent="0.2">
      <c r="A296" s="2" t="s">
        <v>333</v>
      </c>
      <c r="B296" s="3">
        <v>45787</v>
      </c>
      <c r="C296" s="10" t="s">
        <v>24</v>
      </c>
      <c r="D296" s="10" t="s">
        <v>16</v>
      </c>
      <c r="E296" s="1" t="s">
        <v>31</v>
      </c>
      <c r="F296" s="1" t="s">
        <v>45</v>
      </c>
      <c r="G296">
        <v>240000</v>
      </c>
      <c r="H296" s="1">
        <v>3</v>
      </c>
      <c r="I296" s="1" t="s">
        <v>28</v>
      </c>
      <c r="J296" s="1" t="s">
        <v>29</v>
      </c>
      <c r="K296">
        <v>720000</v>
      </c>
    </row>
    <row r="297" spans="1:11" x14ac:dyDescent="0.2">
      <c r="A297" s="2" t="s">
        <v>334</v>
      </c>
      <c r="B297" s="3">
        <v>45743</v>
      </c>
      <c r="C297" s="10" t="s">
        <v>15</v>
      </c>
      <c r="D297" s="10" t="s">
        <v>16</v>
      </c>
      <c r="E297" s="1" t="s">
        <v>47</v>
      </c>
      <c r="F297" s="1" t="s">
        <v>45</v>
      </c>
      <c r="G297">
        <v>225000</v>
      </c>
      <c r="H297" s="1">
        <v>1</v>
      </c>
      <c r="I297" s="1" t="s">
        <v>28</v>
      </c>
      <c r="J297" s="1" t="s">
        <v>29</v>
      </c>
      <c r="K297">
        <v>225000</v>
      </c>
    </row>
    <row r="298" spans="1:11" x14ac:dyDescent="0.2">
      <c r="A298" s="2" t="s">
        <v>335</v>
      </c>
      <c r="B298" s="3">
        <v>45769</v>
      </c>
      <c r="C298" s="10" t="s">
        <v>24</v>
      </c>
      <c r="D298" s="10" t="s">
        <v>16</v>
      </c>
      <c r="E298" s="1" t="s">
        <v>26</v>
      </c>
      <c r="F298" s="1" t="s">
        <v>27</v>
      </c>
      <c r="G298">
        <v>240000</v>
      </c>
      <c r="H298" s="1">
        <v>1</v>
      </c>
      <c r="I298" s="1" t="s">
        <v>28</v>
      </c>
      <c r="J298" s="1" t="s">
        <v>37</v>
      </c>
      <c r="K298">
        <v>240000</v>
      </c>
    </row>
    <row r="299" spans="1:11" x14ac:dyDescent="0.2">
      <c r="A299" s="2" t="s">
        <v>336</v>
      </c>
      <c r="B299" s="3">
        <v>45779</v>
      </c>
      <c r="C299" s="10" t="s">
        <v>15</v>
      </c>
      <c r="D299" s="10" t="s">
        <v>16</v>
      </c>
      <c r="E299" s="1" t="s">
        <v>31</v>
      </c>
      <c r="F299" s="1" t="s">
        <v>32</v>
      </c>
      <c r="G299">
        <v>225000</v>
      </c>
      <c r="H299" s="1">
        <v>1</v>
      </c>
      <c r="I299" s="1" t="s">
        <v>39</v>
      </c>
      <c r="J299" s="1" t="s">
        <v>37</v>
      </c>
      <c r="K299">
        <v>225000</v>
      </c>
    </row>
    <row r="300" spans="1:11" x14ac:dyDescent="0.2">
      <c r="A300" s="2" t="s">
        <v>337</v>
      </c>
      <c r="B300" s="3">
        <v>45815</v>
      </c>
      <c r="C300" s="10" t="s">
        <v>11</v>
      </c>
      <c r="D300" s="10" t="s">
        <v>12</v>
      </c>
      <c r="E300" s="1" t="s">
        <v>47</v>
      </c>
      <c r="F300" s="1" t="s">
        <v>60</v>
      </c>
      <c r="G300">
        <v>350000</v>
      </c>
      <c r="H300" s="1">
        <v>2</v>
      </c>
      <c r="I300" s="1" t="s">
        <v>39</v>
      </c>
      <c r="J300" s="1" t="s">
        <v>29</v>
      </c>
      <c r="K300">
        <v>700000</v>
      </c>
    </row>
    <row r="301" spans="1:11" x14ac:dyDescent="0.2">
      <c r="A301" s="2" t="s">
        <v>338</v>
      </c>
      <c r="B301" s="3">
        <v>45665</v>
      </c>
      <c r="C301" s="10" t="s">
        <v>13</v>
      </c>
      <c r="D301" s="10" t="s">
        <v>14</v>
      </c>
      <c r="E301" s="1" t="s">
        <v>26</v>
      </c>
      <c r="F301" s="1" t="s">
        <v>27</v>
      </c>
      <c r="G301">
        <v>275000</v>
      </c>
      <c r="H301" s="1">
        <v>3</v>
      </c>
      <c r="I301" s="1" t="s">
        <v>28</v>
      </c>
      <c r="J301" s="1" t="s">
        <v>29</v>
      </c>
      <c r="K301">
        <v>825000</v>
      </c>
    </row>
    <row r="302" spans="1:11" x14ac:dyDescent="0.2">
      <c r="A302" s="2" t="s">
        <v>339</v>
      </c>
      <c r="B302" s="3">
        <v>45762</v>
      </c>
      <c r="C302" s="10" t="s">
        <v>23</v>
      </c>
      <c r="D302" s="10" t="s">
        <v>12</v>
      </c>
      <c r="E302" s="1" t="s">
        <v>26</v>
      </c>
      <c r="F302" s="1" t="s">
        <v>60</v>
      </c>
      <c r="G302">
        <v>375000</v>
      </c>
      <c r="H302" s="1">
        <v>2</v>
      </c>
      <c r="I302" s="1" t="s">
        <v>39</v>
      </c>
      <c r="J302" s="1" t="s">
        <v>37</v>
      </c>
      <c r="K302">
        <v>750000</v>
      </c>
    </row>
    <row r="303" spans="1:11" x14ac:dyDescent="0.2">
      <c r="A303" s="2" t="s">
        <v>340</v>
      </c>
      <c r="B303" s="3">
        <v>45803</v>
      </c>
      <c r="C303" s="10" t="s">
        <v>17</v>
      </c>
      <c r="D303" s="10" t="s">
        <v>18</v>
      </c>
      <c r="E303" s="1" t="s">
        <v>36</v>
      </c>
      <c r="F303" s="1" t="s">
        <v>34</v>
      </c>
      <c r="G303">
        <v>300000</v>
      </c>
      <c r="H303" s="1">
        <v>1</v>
      </c>
      <c r="I303" s="1" t="s">
        <v>28</v>
      </c>
      <c r="J303" s="1" t="s">
        <v>37</v>
      </c>
      <c r="K303">
        <v>300000</v>
      </c>
    </row>
    <row r="304" spans="1:11" x14ac:dyDescent="0.2">
      <c r="A304" s="2" t="s">
        <v>341</v>
      </c>
      <c r="B304" s="3">
        <v>45707</v>
      </c>
      <c r="C304" s="10" t="s">
        <v>24</v>
      </c>
      <c r="D304" s="10" t="s">
        <v>16</v>
      </c>
      <c r="E304" s="1" t="s">
        <v>31</v>
      </c>
      <c r="F304" s="1" t="s">
        <v>45</v>
      </c>
      <c r="G304">
        <v>240000</v>
      </c>
      <c r="H304" s="1">
        <v>1</v>
      </c>
      <c r="I304" s="1" t="s">
        <v>39</v>
      </c>
      <c r="J304" s="1" t="s">
        <v>37</v>
      </c>
      <c r="K304">
        <v>240000</v>
      </c>
    </row>
    <row r="305" spans="1:11" x14ac:dyDescent="0.2">
      <c r="A305" s="2" t="s">
        <v>342</v>
      </c>
      <c r="B305" s="3">
        <v>45817</v>
      </c>
      <c r="C305" s="10" t="s">
        <v>23</v>
      </c>
      <c r="D305" s="10" t="s">
        <v>12</v>
      </c>
      <c r="E305" s="1" t="s">
        <v>31</v>
      </c>
      <c r="F305" s="1" t="s">
        <v>32</v>
      </c>
      <c r="G305">
        <v>375000</v>
      </c>
      <c r="H305" s="1">
        <v>3</v>
      </c>
      <c r="I305" s="1" t="s">
        <v>28</v>
      </c>
      <c r="J305" s="1" t="s">
        <v>37</v>
      </c>
      <c r="K305">
        <v>1125000</v>
      </c>
    </row>
    <row r="306" spans="1:11" x14ac:dyDescent="0.2">
      <c r="A306" s="2" t="s">
        <v>343</v>
      </c>
      <c r="B306" s="3">
        <v>45684</v>
      </c>
      <c r="C306" s="10" t="s">
        <v>17</v>
      </c>
      <c r="D306" s="10" t="s">
        <v>18</v>
      </c>
      <c r="E306" s="1" t="s">
        <v>47</v>
      </c>
      <c r="F306" s="1" t="s">
        <v>60</v>
      </c>
      <c r="G306">
        <v>300000</v>
      </c>
      <c r="H306" s="1">
        <v>1</v>
      </c>
      <c r="I306" s="1" t="s">
        <v>39</v>
      </c>
      <c r="J306" s="1" t="s">
        <v>37</v>
      </c>
      <c r="K306">
        <v>300000</v>
      </c>
    </row>
    <row r="307" spans="1:11" x14ac:dyDescent="0.2">
      <c r="A307" s="2" t="s">
        <v>344</v>
      </c>
      <c r="B307" s="3">
        <v>45830</v>
      </c>
      <c r="C307" s="10" t="s">
        <v>23</v>
      </c>
      <c r="D307" s="10" t="s">
        <v>12</v>
      </c>
      <c r="E307" s="1" t="s">
        <v>47</v>
      </c>
      <c r="F307" s="1" t="s">
        <v>32</v>
      </c>
      <c r="G307">
        <v>375000</v>
      </c>
      <c r="H307" s="1">
        <v>3</v>
      </c>
      <c r="I307" s="1" t="s">
        <v>39</v>
      </c>
      <c r="J307" s="1" t="s">
        <v>29</v>
      </c>
      <c r="K307">
        <v>1125000</v>
      </c>
    </row>
    <row r="308" spans="1:11" x14ac:dyDescent="0.2">
      <c r="A308" s="2" t="s">
        <v>345</v>
      </c>
      <c r="B308" s="3">
        <v>45792</v>
      </c>
      <c r="C308" s="10" t="s">
        <v>11</v>
      </c>
      <c r="D308" s="10" t="s">
        <v>12</v>
      </c>
      <c r="E308" s="1" t="s">
        <v>26</v>
      </c>
      <c r="F308" s="1" t="s">
        <v>32</v>
      </c>
      <c r="G308">
        <v>350000</v>
      </c>
      <c r="H308" s="1">
        <v>1</v>
      </c>
      <c r="I308" s="1" t="s">
        <v>39</v>
      </c>
      <c r="J308" s="1" t="s">
        <v>29</v>
      </c>
      <c r="K308">
        <v>350000</v>
      </c>
    </row>
    <row r="309" spans="1:11" x14ac:dyDescent="0.2">
      <c r="A309" s="2" t="s">
        <v>346</v>
      </c>
      <c r="B309" s="3">
        <v>45835</v>
      </c>
      <c r="C309" s="10" t="s">
        <v>23</v>
      </c>
      <c r="D309" s="10" t="s">
        <v>12</v>
      </c>
      <c r="E309" s="1" t="s">
        <v>47</v>
      </c>
      <c r="F309" s="1" t="s">
        <v>34</v>
      </c>
      <c r="G309">
        <v>375000</v>
      </c>
      <c r="H309" s="1">
        <v>2</v>
      </c>
      <c r="I309" s="1" t="s">
        <v>28</v>
      </c>
      <c r="J309" s="1" t="s">
        <v>29</v>
      </c>
      <c r="K309">
        <v>750000</v>
      </c>
    </row>
    <row r="310" spans="1:11" x14ac:dyDescent="0.2">
      <c r="A310" s="2" t="s">
        <v>347</v>
      </c>
      <c r="B310" s="3">
        <v>45722</v>
      </c>
      <c r="C310" s="10" t="s">
        <v>13</v>
      </c>
      <c r="D310" s="10" t="s">
        <v>14</v>
      </c>
      <c r="E310" s="1" t="s">
        <v>47</v>
      </c>
      <c r="F310" s="1" t="s">
        <v>60</v>
      </c>
      <c r="G310">
        <v>275000</v>
      </c>
      <c r="H310" s="1">
        <v>1</v>
      </c>
      <c r="I310" s="1" t="s">
        <v>39</v>
      </c>
      <c r="J310" s="1" t="s">
        <v>29</v>
      </c>
      <c r="K310">
        <v>275000</v>
      </c>
    </row>
    <row r="311" spans="1:11" x14ac:dyDescent="0.2">
      <c r="A311" s="2" t="s">
        <v>348</v>
      </c>
      <c r="B311" s="3">
        <v>45816</v>
      </c>
      <c r="C311" s="10" t="s">
        <v>15</v>
      </c>
      <c r="D311" s="10" t="s">
        <v>16</v>
      </c>
      <c r="E311" s="1" t="s">
        <v>47</v>
      </c>
      <c r="F311" s="1" t="s">
        <v>34</v>
      </c>
      <c r="G311">
        <v>225000</v>
      </c>
      <c r="H311" s="1">
        <v>2</v>
      </c>
      <c r="I311" s="1" t="s">
        <v>28</v>
      </c>
      <c r="J311" s="1" t="s">
        <v>29</v>
      </c>
      <c r="K311">
        <v>450000</v>
      </c>
    </row>
    <row r="312" spans="1:11" x14ac:dyDescent="0.2">
      <c r="A312" s="2" t="s">
        <v>349</v>
      </c>
      <c r="B312" s="3">
        <v>45805</v>
      </c>
      <c r="C312" s="10" t="s">
        <v>23</v>
      </c>
      <c r="D312" s="10" t="s">
        <v>12</v>
      </c>
      <c r="E312" s="1" t="s">
        <v>26</v>
      </c>
      <c r="F312" s="1" t="s">
        <v>60</v>
      </c>
      <c r="G312">
        <v>375000</v>
      </c>
      <c r="H312" s="1">
        <v>2</v>
      </c>
      <c r="I312" s="1" t="s">
        <v>39</v>
      </c>
      <c r="J312" s="1" t="s">
        <v>37</v>
      </c>
      <c r="K312">
        <v>750000</v>
      </c>
    </row>
    <row r="313" spans="1:11" x14ac:dyDescent="0.2">
      <c r="A313" s="2" t="s">
        <v>350</v>
      </c>
      <c r="B313" s="3">
        <v>45765</v>
      </c>
      <c r="C313" s="10" t="s">
        <v>21</v>
      </c>
      <c r="D313" s="10" t="s">
        <v>22</v>
      </c>
      <c r="E313" s="1" t="s">
        <v>26</v>
      </c>
      <c r="F313" s="1" t="s">
        <v>27</v>
      </c>
      <c r="G313">
        <v>75000</v>
      </c>
      <c r="H313" s="1">
        <v>2</v>
      </c>
      <c r="I313" s="1" t="s">
        <v>28</v>
      </c>
      <c r="J313" s="1" t="s">
        <v>37</v>
      </c>
      <c r="K313">
        <v>150000</v>
      </c>
    </row>
    <row r="314" spans="1:11" x14ac:dyDescent="0.2">
      <c r="A314" s="2" t="s">
        <v>351</v>
      </c>
      <c r="B314" s="3">
        <v>45777</v>
      </c>
      <c r="C314" s="10" t="s">
        <v>15</v>
      </c>
      <c r="D314" s="10" t="s">
        <v>16</v>
      </c>
      <c r="E314" s="1" t="s">
        <v>31</v>
      </c>
      <c r="F314" s="1" t="s">
        <v>34</v>
      </c>
      <c r="G314">
        <v>225000</v>
      </c>
      <c r="H314" s="1">
        <v>3</v>
      </c>
      <c r="I314" s="1" t="s">
        <v>28</v>
      </c>
      <c r="J314" s="1" t="s">
        <v>37</v>
      </c>
      <c r="K314">
        <v>675000</v>
      </c>
    </row>
    <row r="315" spans="1:11" x14ac:dyDescent="0.2">
      <c r="A315" s="2" t="s">
        <v>352</v>
      </c>
      <c r="B315" s="3">
        <v>45787</v>
      </c>
      <c r="C315" s="10" t="s">
        <v>13</v>
      </c>
      <c r="D315" s="10" t="s">
        <v>14</v>
      </c>
      <c r="E315" s="1" t="s">
        <v>31</v>
      </c>
      <c r="F315" s="1" t="s">
        <v>41</v>
      </c>
      <c r="G315">
        <v>275000</v>
      </c>
      <c r="H315" s="1">
        <v>1</v>
      </c>
      <c r="I315" s="1" t="s">
        <v>28</v>
      </c>
      <c r="J315" s="1" t="s">
        <v>37</v>
      </c>
      <c r="K315">
        <v>275000</v>
      </c>
    </row>
    <row r="316" spans="1:11" x14ac:dyDescent="0.2">
      <c r="A316" s="2" t="s">
        <v>353</v>
      </c>
      <c r="B316" s="3">
        <v>45747</v>
      </c>
      <c r="C316" s="10" t="s">
        <v>17</v>
      </c>
      <c r="D316" s="10" t="s">
        <v>18</v>
      </c>
      <c r="E316" s="1" t="s">
        <v>47</v>
      </c>
      <c r="F316" s="1" t="s">
        <v>60</v>
      </c>
      <c r="G316">
        <v>300000</v>
      </c>
      <c r="H316" s="1">
        <v>1</v>
      </c>
      <c r="I316" s="1" t="s">
        <v>39</v>
      </c>
      <c r="J316" s="1" t="s">
        <v>29</v>
      </c>
      <c r="K316">
        <v>300000</v>
      </c>
    </row>
    <row r="317" spans="1:11" x14ac:dyDescent="0.2">
      <c r="A317" s="2" t="s">
        <v>354</v>
      </c>
      <c r="B317" s="3">
        <v>45708</v>
      </c>
      <c r="C317" s="10" t="s">
        <v>23</v>
      </c>
      <c r="D317" s="10" t="s">
        <v>12</v>
      </c>
      <c r="E317" s="1" t="s">
        <v>47</v>
      </c>
      <c r="F317" s="1" t="s">
        <v>34</v>
      </c>
      <c r="G317">
        <v>375000</v>
      </c>
      <c r="H317" s="1">
        <v>3</v>
      </c>
      <c r="I317" s="1" t="s">
        <v>39</v>
      </c>
      <c r="J317" s="1" t="s">
        <v>29</v>
      </c>
      <c r="K317">
        <v>1125000</v>
      </c>
    </row>
    <row r="318" spans="1:11" x14ac:dyDescent="0.2">
      <c r="A318" s="2" t="s">
        <v>355</v>
      </c>
      <c r="B318" s="3">
        <v>45808</v>
      </c>
      <c r="C318" s="10" t="s">
        <v>19</v>
      </c>
      <c r="D318" s="10" t="s">
        <v>20</v>
      </c>
      <c r="E318" s="1" t="s">
        <v>31</v>
      </c>
      <c r="F318" s="1" t="s">
        <v>45</v>
      </c>
      <c r="G318">
        <v>250000</v>
      </c>
      <c r="H318" s="1">
        <v>1</v>
      </c>
      <c r="I318" s="1" t="s">
        <v>28</v>
      </c>
      <c r="J318" s="1" t="s">
        <v>29</v>
      </c>
      <c r="K318">
        <v>250000</v>
      </c>
    </row>
    <row r="319" spans="1:11" x14ac:dyDescent="0.2">
      <c r="A319" s="2" t="s">
        <v>356</v>
      </c>
      <c r="B319" s="3">
        <v>45697</v>
      </c>
      <c r="C319" s="10" t="s">
        <v>17</v>
      </c>
      <c r="D319" s="10" t="s">
        <v>18</v>
      </c>
      <c r="E319" s="1" t="s">
        <v>36</v>
      </c>
      <c r="F319" s="1" t="s">
        <v>32</v>
      </c>
      <c r="G319">
        <v>300000</v>
      </c>
      <c r="H319" s="1">
        <v>2</v>
      </c>
      <c r="I319" s="1" t="s">
        <v>39</v>
      </c>
      <c r="J319" s="1" t="s">
        <v>29</v>
      </c>
      <c r="K319">
        <v>600000</v>
      </c>
    </row>
    <row r="320" spans="1:11" x14ac:dyDescent="0.2">
      <c r="A320" s="2" t="s">
        <v>357</v>
      </c>
      <c r="B320" s="3">
        <v>45736</v>
      </c>
      <c r="C320" s="10" t="s">
        <v>19</v>
      </c>
      <c r="D320" s="10" t="s">
        <v>20</v>
      </c>
      <c r="E320" s="1" t="s">
        <v>47</v>
      </c>
      <c r="F320" s="1" t="s">
        <v>60</v>
      </c>
      <c r="G320">
        <v>250000</v>
      </c>
      <c r="H320" s="1">
        <v>1</v>
      </c>
      <c r="I320" s="1" t="s">
        <v>39</v>
      </c>
      <c r="J320" s="1" t="s">
        <v>29</v>
      </c>
      <c r="K320">
        <v>250000</v>
      </c>
    </row>
    <row r="321" spans="1:11" x14ac:dyDescent="0.2">
      <c r="A321" s="2" t="s">
        <v>358</v>
      </c>
      <c r="B321" s="3">
        <v>45797</v>
      </c>
      <c r="C321" s="10" t="s">
        <v>11</v>
      </c>
      <c r="D321" s="10" t="s">
        <v>12</v>
      </c>
      <c r="E321" s="1" t="s">
        <v>26</v>
      </c>
      <c r="F321" s="1" t="s">
        <v>27</v>
      </c>
      <c r="G321">
        <v>350000</v>
      </c>
      <c r="H321" s="1">
        <v>2</v>
      </c>
      <c r="I321" s="1" t="s">
        <v>39</v>
      </c>
      <c r="J321" s="1" t="s">
        <v>37</v>
      </c>
      <c r="K321">
        <v>700000</v>
      </c>
    </row>
    <row r="322" spans="1:11" x14ac:dyDescent="0.2">
      <c r="A322" s="2" t="s">
        <v>359</v>
      </c>
      <c r="B322" s="3">
        <v>45736</v>
      </c>
      <c r="C322" s="10" t="s">
        <v>21</v>
      </c>
      <c r="D322" s="10" t="s">
        <v>22</v>
      </c>
      <c r="E322" s="1" t="s">
        <v>31</v>
      </c>
      <c r="F322" s="1" t="s">
        <v>60</v>
      </c>
      <c r="G322">
        <v>75000</v>
      </c>
      <c r="H322" s="1">
        <v>3</v>
      </c>
      <c r="I322" s="1" t="s">
        <v>39</v>
      </c>
      <c r="J322" s="1" t="s">
        <v>37</v>
      </c>
      <c r="K322">
        <v>225000</v>
      </c>
    </row>
    <row r="323" spans="1:11" x14ac:dyDescent="0.2">
      <c r="A323" s="2" t="s">
        <v>360</v>
      </c>
      <c r="B323" s="3">
        <v>45818</v>
      </c>
      <c r="C323" s="10" t="s">
        <v>21</v>
      </c>
      <c r="D323" s="10" t="s">
        <v>22</v>
      </c>
      <c r="E323" s="1" t="s">
        <v>26</v>
      </c>
      <c r="F323" s="1" t="s">
        <v>32</v>
      </c>
      <c r="G323">
        <v>75000</v>
      </c>
      <c r="H323" s="1">
        <v>2</v>
      </c>
      <c r="I323" s="1" t="s">
        <v>28</v>
      </c>
      <c r="J323" s="1" t="s">
        <v>29</v>
      </c>
      <c r="K323">
        <v>150000</v>
      </c>
    </row>
    <row r="324" spans="1:11" x14ac:dyDescent="0.2">
      <c r="A324" s="2" t="s">
        <v>361</v>
      </c>
      <c r="B324" s="3">
        <v>45703</v>
      </c>
      <c r="C324" s="10" t="s">
        <v>21</v>
      </c>
      <c r="D324" s="10" t="s">
        <v>22</v>
      </c>
      <c r="E324" s="1" t="s">
        <v>47</v>
      </c>
      <c r="F324" s="1" t="s">
        <v>27</v>
      </c>
      <c r="G324">
        <v>75000</v>
      </c>
      <c r="H324" s="1">
        <v>3</v>
      </c>
      <c r="I324" s="1" t="s">
        <v>28</v>
      </c>
      <c r="J324" s="1" t="s">
        <v>37</v>
      </c>
      <c r="K324">
        <v>225000</v>
      </c>
    </row>
    <row r="325" spans="1:11" x14ac:dyDescent="0.2">
      <c r="A325" s="2" t="s">
        <v>362</v>
      </c>
      <c r="B325" s="3">
        <v>45658</v>
      </c>
      <c r="C325" s="10" t="s">
        <v>21</v>
      </c>
      <c r="D325" s="10" t="s">
        <v>22</v>
      </c>
      <c r="E325" s="1" t="s">
        <v>47</v>
      </c>
      <c r="F325" s="1" t="s">
        <v>41</v>
      </c>
      <c r="G325">
        <v>75000</v>
      </c>
      <c r="H325" s="1">
        <v>2</v>
      </c>
      <c r="I325" s="1" t="s">
        <v>28</v>
      </c>
      <c r="J325" s="1" t="s">
        <v>29</v>
      </c>
      <c r="K325">
        <v>150000</v>
      </c>
    </row>
    <row r="326" spans="1:11" x14ac:dyDescent="0.2">
      <c r="A326" s="2" t="s">
        <v>363</v>
      </c>
      <c r="B326" s="3">
        <v>45789</v>
      </c>
      <c r="C326" s="10" t="s">
        <v>19</v>
      </c>
      <c r="D326" s="10" t="s">
        <v>20</v>
      </c>
      <c r="E326" s="1" t="s">
        <v>47</v>
      </c>
      <c r="F326" s="1" t="s">
        <v>32</v>
      </c>
      <c r="G326">
        <v>250000</v>
      </c>
      <c r="H326" s="1">
        <v>3</v>
      </c>
      <c r="I326" s="1" t="s">
        <v>39</v>
      </c>
      <c r="J326" s="1" t="s">
        <v>29</v>
      </c>
      <c r="K326">
        <v>750000</v>
      </c>
    </row>
    <row r="327" spans="1:11" x14ac:dyDescent="0.2">
      <c r="A327" s="2" t="s">
        <v>364</v>
      </c>
      <c r="B327" s="3">
        <v>45755</v>
      </c>
      <c r="C327" s="10" t="s">
        <v>17</v>
      </c>
      <c r="D327" s="10" t="s">
        <v>18</v>
      </c>
      <c r="E327" s="1" t="s">
        <v>47</v>
      </c>
      <c r="F327" s="1" t="s">
        <v>32</v>
      </c>
      <c r="G327">
        <v>300000</v>
      </c>
      <c r="H327" s="1">
        <v>2</v>
      </c>
      <c r="I327" s="1" t="s">
        <v>28</v>
      </c>
      <c r="J327" s="1" t="s">
        <v>29</v>
      </c>
      <c r="K327">
        <v>600000</v>
      </c>
    </row>
    <row r="328" spans="1:11" x14ac:dyDescent="0.2">
      <c r="A328" s="2" t="s">
        <v>365</v>
      </c>
      <c r="B328" s="3">
        <v>45772</v>
      </c>
      <c r="C328" s="10" t="s">
        <v>21</v>
      </c>
      <c r="D328" s="10" t="s">
        <v>22</v>
      </c>
      <c r="E328" s="1" t="s">
        <v>36</v>
      </c>
      <c r="F328" s="1" t="s">
        <v>45</v>
      </c>
      <c r="G328">
        <v>75000</v>
      </c>
      <c r="H328" s="1">
        <v>1</v>
      </c>
      <c r="I328" s="1" t="s">
        <v>28</v>
      </c>
      <c r="J328" s="1" t="s">
        <v>37</v>
      </c>
      <c r="K328">
        <v>75000</v>
      </c>
    </row>
    <row r="329" spans="1:11" x14ac:dyDescent="0.2">
      <c r="A329" s="2" t="s">
        <v>366</v>
      </c>
      <c r="B329" s="3">
        <v>45784</v>
      </c>
      <c r="C329" s="10" t="s">
        <v>11</v>
      </c>
      <c r="D329" s="10" t="s">
        <v>12</v>
      </c>
      <c r="E329" s="1" t="s">
        <v>26</v>
      </c>
      <c r="F329" s="1" t="s">
        <v>34</v>
      </c>
      <c r="G329">
        <v>350000</v>
      </c>
      <c r="H329" s="1">
        <v>1</v>
      </c>
      <c r="I329" s="1" t="s">
        <v>28</v>
      </c>
      <c r="J329" s="1" t="s">
        <v>29</v>
      </c>
      <c r="K329">
        <v>350000</v>
      </c>
    </row>
    <row r="330" spans="1:11" x14ac:dyDescent="0.2">
      <c r="A330" s="2" t="s">
        <v>367</v>
      </c>
      <c r="B330" s="3">
        <v>45661</v>
      </c>
      <c r="C330" s="10" t="s">
        <v>21</v>
      </c>
      <c r="D330" s="10" t="s">
        <v>22</v>
      </c>
      <c r="E330" s="1" t="s">
        <v>26</v>
      </c>
      <c r="F330" s="1" t="s">
        <v>45</v>
      </c>
      <c r="G330">
        <v>75000</v>
      </c>
      <c r="H330" s="1">
        <v>1</v>
      </c>
      <c r="I330" s="1" t="s">
        <v>28</v>
      </c>
      <c r="J330" s="1" t="s">
        <v>29</v>
      </c>
      <c r="K330">
        <v>75000</v>
      </c>
    </row>
    <row r="331" spans="1:11" x14ac:dyDescent="0.2">
      <c r="A331" s="2" t="s">
        <v>368</v>
      </c>
      <c r="B331" s="3">
        <v>45832</v>
      </c>
      <c r="C331" s="10" t="s">
        <v>19</v>
      </c>
      <c r="D331" s="10" t="s">
        <v>20</v>
      </c>
      <c r="E331" s="1" t="s">
        <v>36</v>
      </c>
      <c r="F331" s="1" t="s">
        <v>32</v>
      </c>
      <c r="G331">
        <v>250000</v>
      </c>
      <c r="H331" s="1">
        <v>1</v>
      </c>
      <c r="I331" s="1" t="s">
        <v>28</v>
      </c>
      <c r="J331" s="1" t="s">
        <v>29</v>
      </c>
      <c r="K331">
        <v>250000</v>
      </c>
    </row>
    <row r="332" spans="1:11" x14ac:dyDescent="0.2">
      <c r="A332" s="2" t="s">
        <v>369</v>
      </c>
      <c r="B332" s="3">
        <v>45833</v>
      </c>
      <c r="C332" s="10" t="s">
        <v>13</v>
      </c>
      <c r="D332" s="10" t="s">
        <v>14</v>
      </c>
      <c r="E332" s="1" t="s">
        <v>26</v>
      </c>
      <c r="F332" s="1" t="s">
        <v>41</v>
      </c>
      <c r="G332">
        <v>275000</v>
      </c>
      <c r="H332" s="1">
        <v>3</v>
      </c>
      <c r="I332" s="1" t="s">
        <v>39</v>
      </c>
      <c r="J332" s="1" t="s">
        <v>29</v>
      </c>
      <c r="K332">
        <v>825000</v>
      </c>
    </row>
    <row r="333" spans="1:11" x14ac:dyDescent="0.2">
      <c r="A333" s="2" t="s">
        <v>370</v>
      </c>
      <c r="B333" s="3">
        <v>45694</v>
      </c>
      <c r="C333" s="10" t="s">
        <v>19</v>
      </c>
      <c r="D333" s="10" t="s">
        <v>20</v>
      </c>
      <c r="E333" s="1" t="s">
        <v>47</v>
      </c>
      <c r="F333" s="1" t="s">
        <v>45</v>
      </c>
      <c r="G333">
        <v>250000</v>
      </c>
      <c r="H333" s="1">
        <v>3</v>
      </c>
      <c r="I333" s="1" t="s">
        <v>28</v>
      </c>
      <c r="J333" s="1" t="s">
        <v>29</v>
      </c>
      <c r="K333">
        <v>750000</v>
      </c>
    </row>
    <row r="334" spans="1:11" x14ac:dyDescent="0.2">
      <c r="A334" s="2" t="s">
        <v>371</v>
      </c>
      <c r="B334" s="3">
        <v>45682</v>
      </c>
      <c r="C334" s="10" t="s">
        <v>23</v>
      </c>
      <c r="D334" s="10" t="s">
        <v>12</v>
      </c>
      <c r="E334" s="1" t="s">
        <v>26</v>
      </c>
      <c r="F334" s="1" t="s">
        <v>41</v>
      </c>
      <c r="G334">
        <v>375000</v>
      </c>
      <c r="H334" s="1">
        <v>3</v>
      </c>
      <c r="I334" s="1" t="s">
        <v>39</v>
      </c>
      <c r="J334" s="1" t="s">
        <v>37</v>
      </c>
      <c r="K334">
        <v>1125000</v>
      </c>
    </row>
    <row r="335" spans="1:11" x14ac:dyDescent="0.2">
      <c r="A335" s="2" t="s">
        <v>372</v>
      </c>
      <c r="B335" s="3">
        <v>45714</v>
      </c>
      <c r="C335" s="10" t="s">
        <v>23</v>
      </c>
      <c r="D335" s="10" t="s">
        <v>12</v>
      </c>
      <c r="E335" s="1" t="s">
        <v>47</v>
      </c>
      <c r="F335" s="1" t="s">
        <v>45</v>
      </c>
      <c r="G335">
        <v>375000</v>
      </c>
      <c r="H335" s="1">
        <v>3</v>
      </c>
      <c r="I335" s="1" t="s">
        <v>39</v>
      </c>
      <c r="J335" s="1" t="s">
        <v>29</v>
      </c>
      <c r="K335">
        <v>1125000</v>
      </c>
    </row>
    <row r="336" spans="1:11" x14ac:dyDescent="0.2">
      <c r="A336" s="2" t="s">
        <v>373</v>
      </c>
      <c r="B336" s="3">
        <v>45765</v>
      </c>
      <c r="C336" s="10" t="s">
        <v>17</v>
      </c>
      <c r="D336" s="10" t="s">
        <v>18</v>
      </c>
      <c r="E336" s="1" t="s">
        <v>36</v>
      </c>
      <c r="F336" s="1" t="s">
        <v>32</v>
      </c>
      <c r="G336">
        <v>300000</v>
      </c>
      <c r="H336" s="1">
        <v>3</v>
      </c>
      <c r="I336" s="1" t="s">
        <v>28</v>
      </c>
      <c r="J336" s="1" t="s">
        <v>29</v>
      </c>
      <c r="K336">
        <v>900000</v>
      </c>
    </row>
    <row r="337" spans="1:11" x14ac:dyDescent="0.2">
      <c r="A337" s="2" t="s">
        <v>374</v>
      </c>
      <c r="B337" s="3">
        <v>45745</v>
      </c>
      <c r="C337" s="10" t="s">
        <v>23</v>
      </c>
      <c r="D337" s="10" t="s">
        <v>12</v>
      </c>
      <c r="E337" s="1" t="s">
        <v>31</v>
      </c>
      <c r="F337" s="1" t="s">
        <v>60</v>
      </c>
      <c r="G337">
        <v>375000</v>
      </c>
      <c r="H337" s="1">
        <v>3</v>
      </c>
      <c r="I337" s="1" t="s">
        <v>28</v>
      </c>
      <c r="J337" s="1" t="s">
        <v>37</v>
      </c>
      <c r="K337">
        <v>1125000</v>
      </c>
    </row>
    <row r="338" spans="1:11" x14ac:dyDescent="0.2">
      <c r="A338" s="2" t="s">
        <v>375</v>
      </c>
      <c r="B338" s="3">
        <v>45709</v>
      </c>
      <c r="C338" s="10" t="s">
        <v>15</v>
      </c>
      <c r="D338" s="10" t="s">
        <v>16</v>
      </c>
      <c r="E338" s="1" t="s">
        <v>26</v>
      </c>
      <c r="F338" s="1" t="s">
        <v>41</v>
      </c>
      <c r="G338">
        <v>225000</v>
      </c>
      <c r="H338" s="1">
        <v>2</v>
      </c>
      <c r="I338" s="1" t="s">
        <v>39</v>
      </c>
      <c r="J338" s="1" t="s">
        <v>29</v>
      </c>
      <c r="K338">
        <v>450000</v>
      </c>
    </row>
    <row r="339" spans="1:11" x14ac:dyDescent="0.2">
      <c r="A339" s="2" t="s">
        <v>376</v>
      </c>
      <c r="B339" s="3">
        <v>45793</v>
      </c>
      <c r="C339" s="10" t="s">
        <v>17</v>
      </c>
      <c r="D339" s="10" t="s">
        <v>18</v>
      </c>
      <c r="E339" s="1" t="s">
        <v>31</v>
      </c>
      <c r="F339" s="1" t="s">
        <v>27</v>
      </c>
      <c r="G339">
        <v>300000</v>
      </c>
      <c r="H339" s="1">
        <v>2</v>
      </c>
      <c r="I339" s="1" t="s">
        <v>28</v>
      </c>
      <c r="J339" s="1" t="s">
        <v>37</v>
      </c>
      <c r="K339">
        <v>600000</v>
      </c>
    </row>
    <row r="340" spans="1:11" x14ac:dyDescent="0.2">
      <c r="A340" s="2" t="s">
        <v>377</v>
      </c>
      <c r="B340" s="3">
        <v>45741</v>
      </c>
      <c r="C340" s="10" t="s">
        <v>21</v>
      </c>
      <c r="D340" s="10" t="s">
        <v>22</v>
      </c>
      <c r="E340" s="1" t="s">
        <v>26</v>
      </c>
      <c r="F340" s="1" t="s">
        <v>45</v>
      </c>
      <c r="G340">
        <v>75000</v>
      </c>
      <c r="H340" s="1">
        <v>1</v>
      </c>
      <c r="I340" s="1" t="s">
        <v>28</v>
      </c>
      <c r="J340" s="1" t="s">
        <v>29</v>
      </c>
      <c r="K340">
        <v>75000</v>
      </c>
    </row>
    <row r="341" spans="1:11" x14ac:dyDescent="0.2">
      <c r="A341" s="2" t="s">
        <v>378</v>
      </c>
      <c r="B341" s="3">
        <v>45789</v>
      </c>
      <c r="C341" s="10" t="s">
        <v>15</v>
      </c>
      <c r="D341" s="10" t="s">
        <v>16</v>
      </c>
      <c r="E341" s="1" t="s">
        <v>47</v>
      </c>
      <c r="F341" s="1" t="s">
        <v>45</v>
      </c>
      <c r="G341">
        <v>225000</v>
      </c>
      <c r="H341" s="1">
        <v>3</v>
      </c>
      <c r="I341" s="1" t="s">
        <v>28</v>
      </c>
      <c r="J341" s="1" t="s">
        <v>29</v>
      </c>
      <c r="K341">
        <v>675000</v>
      </c>
    </row>
    <row r="342" spans="1:11" x14ac:dyDescent="0.2">
      <c r="A342" s="2" t="s">
        <v>379</v>
      </c>
      <c r="B342" s="3">
        <v>45750</v>
      </c>
      <c r="C342" s="10" t="s">
        <v>21</v>
      </c>
      <c r="D342" s="10" t="s">
        <v>22</v>
      </c>
      <c r="E342" s="1" t="s">
        <v>31</v>
      </c>
      <c r="F342" s="1" t="s">
        <v>32</v>
      </c>
      <c r="G342">
        <v>75000</v>
      </c>
      <c r="H342" s="1">
        <v>1</v>
      </c>
      <c r="I342" s="1" t="s">
        <v>28</v>
      </c>
      <c r="J342" s="1" t="s">
        <v>37</v>
      </c>
      <c r="K342">
        <v>75000</v>
      </c>
    </row>
    <row r="343" spans="1:11" x14ac:dyDescent="0.2">
      <c r="A343" s="2" t="s">
        <v>380</v>
      </c>
      <c r="B343" s="3">
        <v>45796</v>
      </c>
      <c r="C343" s="10" t="s">
        <v>23</v>
      </c>
      <c r="D343" s="10" t="s">
        <v>12</v>
      </c>
      <c r="E343" s="1" t="s">
        <v>36</v>
      </c>
      <c r="F343" s="1" t="s">
        <v>27</v>
      </c>
      <c r="G343">
        <v>375000</v>
      </c>
      <c r="H343" s="1">
        <v>3</v>
      </c>
      <c r="I343" s="1" t="s">
        <v>28</v>
      </c>
      <c r="J343" s="1" t="s">
        <v>37</v>
      </c>
      <c r="K343">
        <v>1125000</v>
      </c>
    </row>
    <row r="344" spans="1:11" x14ac:dyDescent="0.2">
      <c r="A344" s="2" t="s">
        <v>381</v>
      </c>
      <c r="B344" s="3">
        <v>45673</v>
      </c>
      <c r="C344" s="10" t="s">
        <v>17</v>
      </c>
      <c r="D344" s="10" t="s">
        <v>18</v>
      </c>
      <c r="E344" s="1" t="s">
        <v>36</v>
      </c>
      <c r="F344" s="1" t="s">
        <v>41</v>
      </c>
      <c r="G344">
        <v>300000</v>
      </c>
      <c r="H344" s="1">
        <v>3</v>
      </c>
      <c r="I344" s="1" t="s">
        <v>28</v>
      </c>
      <c r="J344" s="1" t="s">
        <v>29</v>
      </c>
      <c r="K344">
        <v>900000</v>
      </c>
    </row>
    <row r="345" spans="1:11" x14ac:dyDescent="0.2">
      <c r="A345" s="2" t="s">
        <v>382</v>
      </c>
      <c r="B345" s="3">
        <v>45715</v>
      </c>
      <c r="C345" s="10" t="s">
        <v>24</v>
      </c>
      <c r="D345" s="10" t="s">
        <v>16</v>
      </c>
      <c r="E345" s="1" t="s">
        <v>26</v>
      </c>
      <c r="F345" s="1" t="s">
        <v>32</v>
      </c>
      <c r="G345">
        <v>240000</v>
      </c>
      <c r="H345" s="1">
        <v>1</v>
      </c>
      <c r="I345" s="1" t="s">
        <v>39</v>
      </c>
      <c r="J345" s="1" t="s">
        <v>29</v>
      </c>
      <c r="K345">
        <v>240000</v>
      </c>
    </row>
    <row r="346" spans="1:11" x14ac:dyDescent="0.2">
      <c r="A346" s="2" t="s">
        <v>383</v>
      </c>
      <c r="B346" s="3">
        <v>45699</v>
      </c>
      <c r="C346" s="10" t="s">
        <v>19</v>
      </c>
      <c r="D346" s="10" t="s">
        <v>20</v>
      </c>
      <c r="E346" s="1" t="s">
        <v>36</v>
      </c>
      <c r="F346" s="1" t="s">
        <v>60</v>
      </c>
      <c r="G346">
        <v>250000</v>
      </c>
      <c r="H346" s="1">
        <v>3</v>
      </c>
      <c r="I346" s="1" t="s">
        <v>39</v>
      </c>
      <c r="J346" s="1" t="s">
        <v>37</v>
      </c>
      <c r="K346">
        <v>750000</v>
      </c>
    </row>
    <row r="347" spans="1:11" x14ac:dyDescent="0.2">
      <c r="A347" s="2" t="s">
        <v>384</v>
      </c>
      <c r="B347" s="3">
        <v>45783</v>
      </c>
      <c r="C347" s="10" t="s">
        <v>11</v>
      </c>
      <c r="D347" s="10" t="s">
        <v>12</v>
      </c>
      <c r="E347" s="1" t="s">
        <v>36</v>
      </c>
      <c r="F347" s="1" t="s">
        <v>32</v>
      </c>
      <c r="G347">
        <v>350000</v>
      </c>
      <c r="H347" s="1">
        <v>2</v>
      </c>
      <c r="I347" s="1" t="s">
        <v>39</v>
      </c>
      <c r="J347" s="1" t="s">
        <v>29</v>
      </c>
      <c r="K347">
        <v>700000</v>
      </c>
    </row>
    <row r="348" spans="1:11" x14ac:dyDescent="0.2">
      <c r="A348" s="2" t="s">
        <v>385</v>
      </c>
      <c r="B348" s="3">
        <v>45818</v>
      </c>
      <c r="C348" s="10" t="s">
        <v>19</v>
      </c>
      <c r="D348" s="10" t="s">
        <v>20</v>
      </c>
      <c r="E348" s="1" t="s">
        <v>26</v>
      </c>
      <c r="F348" s="1" t="s">
        <v>45</v>
      </c>
      <c r="G348">
        <v>250000</v>
      </c>
      <c r="H348" s="1">
        <v>1</v>
      </c>
      <c r="I348" s="1" t="s">
        <v>39</v>
      </c>
      <c r="J348" s="1" t="s">
        <v>29</v>
      </c>
      <c r="K348">
        <v>250000</v>
      </c>
    </row>
    <row r="349" spans="1:11" x14ac:dyDescent="0.2">
      <c r="A349" s="2" t="s">
        <v>386</v>
      </c>
      <c r="B349" s="3">
        <v>45832</v>
      </c>
      <c r="C349" s="10" t="s">
        <v>19</v>
      </c>
      <c r="D349" s="10" t="s">
        <v>20</v>
      </c>
      <c r="E349" s="1" t="s">
        <v>26</v>
      </c>
      <c r="F349" s="1" t="s">
        <v>27</v>
      </c>
      <c r="G349">
        <v>250000</v>
      </c>
      <c r="H349" s="1">
        <v>3</v>
      </c>
      <c r="I349" s="1" t="s">
        <v>39</v>
      </c>
      <c r="J349" s="1" t="s">
        <v>37</v>
      </c>
      <c r="K349">
        <v>750000</v>
      </c>
    </row>
    <row r="350" spans="1:11" x14ac:dyDescent="0.2">
      <c r="A350" s="2" t="s">
        <v>387</v>
      </c>
      <c r="B350" s="3">
        <v>45689</v>
      </c>
      <c r="C350" s="10" t="s">
        <v>24</v>
      </c>
      <c r="D350" s="10" t="s">
        <v>16</v>
      </c>
      <c r="E350" s="1" t="s">
        <v>31</v>
      </c>
      <c r="F350" s="1" t="s">
        <v>32</v>
      </c>
      <c r="G350">
        <v>240000</v>
      </c>
      <c r="H350" s="1">
        <v>1</v>
      </c>
      <c r="I350" s="1" t="s">
        <v>39</v>
      </c>
      <c r="J350" s="1" t="s">
        <v>29</v>
      </c>
      <c r="K350">
        <v>240000</v>
      </c>
    </row>
    <row r="351" spans="1:11" x14ac:dyDescent="0.2">
      <c r="A351" s="2" t="s">
        <v>388</v>
      </c>
      <c r="B351" s="3">
        <v>45662</v>
      </c>
      <c r="C351" s="10" t="s">
        <v>19</v>
      </c>
      <c r="D351" s="10" t="s">
        <v>20</v>
      </c>
      <c r="E351" s="1" t="s">
        <v>26</v>
      </c>
      <c r="F351" s="1" t="s">
        <v>34</v>
      </c>
      <c r="G351">
        <v>250000</v>
      </c>
      <c r="H351" s="1">
        <v>3</v>
      </c>
      <c r="I351" s="1" t="s">
        <v>39</v>
      </c>
      <c r="J351" s="1" t="s">
        <v>37</v>
      </c>
      <c r="K351">
        <v>750000</v>
      </c>
    </row>
    <row r="352" spans="1:11" x14ac:dyDescent="0.2">
      <c r="A352" s="2" t="s">
        <v>389</v>
      </c>
      <c r="B352" s="3">
        <v>45773</v>
      </c>
      <c r="C352" s="10" t="s">
        <v>21</v>
      </c>
      <c r="D352" s="10" t="s">
        <v>22</v>
      </c>
      <c r="E352" s="1" t="s">
        <v>26</v>
      </c>
      <c r="F352" s="1" t="s">
        <v>60</v>
      </c>
      <c r="G352">
        <v>75000</v>
      </c>
      <c r="H352" s="1">
        <v>1</v>
      </c>
      <c r="I352" s="1" t="s">
        <v>39</v>
      </c>
      <c r="J352" s="1" t="s">
        <v>29</v>
      </c>
      <c r="K352">
        <v>75000</v>
      </c>
    </row>
    <row r="353" spans="1:11" x14ac:dyDescent="0.2">
      <c r="A353" s="2" t="s">
        <v>390</v>
      </c>
      <c r="B353" s="3">
        <v>45754</v>
      </c>
      <c r="C353" s="10" t="s">
        <v>19</v>
      </c>
      <c r="D353" s="10" t="s">
        <v>20</v>
      </c>
      <c r="E353" s="1" t="s">
        <v>26</v>
      </c>
      <c r="F353" s="1" t="s">
        <v>27</v>
      </c>
      <c r="G353">
        <v>250000</v>
      </c>
      <c r="H353" s="1">
        <v>1</v>
      </c>
      <c r="I353" s="1" t="s">
        <v>39</v>
      </c>
      <c r="J353" s="1" t="s">
        <v>29</v>
      </c>
      <c r="K353">
        <v>250000</v>
      </c>
    </row>
    <row r="354" spans="1:11" x14ac:dyDescent="0.2">
      <c r="A354" s="2" t="s">
        <v>391</v>
      </c>
      <c r="B354" s="3">
        <v>45760</v>
      </c>
      <c r="C354" s="10" t="s">
        <v>19</v>
      </c>
      <c r="D354" s="10" t="s">
        <v>20</v>
      </c>
      <c r="E354" s="1" t="s">
        <v>31</v>
      </c>
      <c r="F354" s="1" t="s">
        <v>32</v>
      </c>
      <c r="G354">
        <v>250000</v>
      </c>
      <c r="H354" s="1">
        <v>2</v>
      </c>
      <c r="I354" s="1" t="s">
        <v>39</v>
      </c>
      <c r="J354" s="1" t="s">
        <v>37</v>
      </c>
      <c r="K354">
        <v>500000</v>
      </c>
    </row>
    <row r="355" spans="1:11" x14ac:dyDescent="0.2">
      <c r="A355" s="2" t="s">
        <v>392</v>
      </c>
      <c r="B355" s="3">
        <v>45725</v>
      </c>
      <c r="C355" s="10" t="s">
        <v>21</v>
      </c>
      <c r="D355" s="10" t="s">
        <v>22</v>
      </c>
      <c r="E355" s="1" t="s">
        <v>31</v>
      </c>
      <c r="F355" s="1" t="s">
        <v>32</v>
      </c>
      <c r="G355">
        <v>75000</v>
      </c>
      <c r="H355" s="1">
        <v>3</v>
      </c>
      <c r="I355" s="1" t="s">
        <v>28</v>
      </c>
      <c r="J355" s="1" t="s">
        <v>37</v>
      </c>
      <c r="K355">
        <v>225000</v>
      </c>
    </row>
    <row r="356" spans="1:11" x14ac:dyDescent="0.2">
      <c r="A356" s="2" t="s">
        <v>393</v>
      </c>
      <c r="B356" s="3">
        <v>45663</v>
      </c>
      <c r="C356" s="10" t="s">
        <v>17</v>
      </c>
      <c r="D356" s="10" t="s">
        <v>18</v>
      </c>
      <c r="E356" s="1" t="s">
        <v>31</v>
      </c>
      <c r="F356" s="1" t="s">
        <v>45</v>
      </c>
      <c r="G356">
        <v>300000</v>
      </c>
      <c r="H356" s="1">
        <v>2</v>
      </c>
      <c r="I356" s="1" t="s">
        <v>28</v>
      </c>
      <c r="J356" s="1" t="s">
        <v>29</v>
      </c>
      <c r="K356">
        <v>600000</v>
      </c>
    </row>
    <row r="357" spans="1:11" x14ac:dyDescent="0.2">
      <c r="A357" s="2" t="s">
        <v>394</v>
      </c>
      <c r="B357" s="3">
        <v>45702</v>
      </c>
      <c r="C357" s="10" t="s">
        <v>13</v>
      </c>
      <c r="D357" s="10" t="s">
        <v>14</v>
      </c>
      <c r="E357" s="1" t="s">
        <v>31</v>
      </c>
      <c r="F357" s="1" t="s">
        <v>27</v>
      </c>
      <c r="G357">
        <v>275000</v>
      </c>
      <c r="H357" s="1">
        <v>1</v>
      </c>
      <c r="I357" s="1" t="s">
        <v>28</v>
      </c>
      <c r="J357" s="1" t="s">
        <v>37</v>
      </c>
      <c r="K357">
        <v>275000</v>
      </c>
    </row>
    <row r="358" spans="1:11" x14ac:dyDescent="0.2">
      <c r="A358" s="2" t="s">
        <v>395</v>
      </c>
      <c r="B358" s="3">
        <v>45778</v>
      </c>
      <c r="C358" s="10" t="s">
        <v>11</v>
      </c>
      <c r="D358" s="10" t="s">
        <v>12</v>
      </c>
      <c r="E358" s="1" t="s">
        <v>36</v>
      </c>
      <c r="F358" s="1" t="s">
        <v>41</v>
      </c>
      <c r="G358">
        <v>350000</v>
      </c>
      <c r="H358" s="1">
        <v>1</v>
      </c>
      <c r="I358" s="1" t="s">
        <v>39</v>
      </c>
      <c r="J358" s="1" t="s">
        <v>29</v>
      </c>
      <c r="K358">
        <v>350000</v>
      </c>
    </row>
    <row r="359" spans="1:11" x14ac:dyDescent="0.2">
      <c r="A359" s="2" t="s">
        <v>396</v>
      </c>
      <c r="B359" s="3">
        <v>45782</v>
      </c>
      <c r="C359" s="10" t="s">
        <v>19</v>
      </c>
      <c r="D359" s="10" t="s">
        <v>20</v>
      </c>
      <c r="E359" s="1" t="s">
        <v>26</v>
      </c>
      <c r="F359" s="1" t="s">
        <v>27</v>
      </c>
      <c r="G359">
        <v>250000</v>
      </c>
      <c r="H359" s="1">
        <v>1</v>
      </c>
      <c r="I359" s="1" t="s">
        <v>28</v>
      </c>
      <c r="J359" s="1" t="s">
        <v>29</v>
      </c>
      <c r="K359">
        <v>250000</v>
      </c>
    </row>
    <row r="360" spans="1:11" x14ac:dyDescent="0.2">
      <c r="A360" s="2" t="s">
        <v>397</v>
      </c>
      <c r="B360" s="3">
        <v>45773</v>
      </c>
      <c r="C360" s="10" t="s">
        <v>21</v>
      </c>
      <c r="D360" s="10" t="s">
        <v>22</v>
      </c>
      <c r="E360" s="1" t="s">
        <v>47</v>
      </c>
      <c r="F360" s="1" t="s">
        <v>34</v>
      </c>
      <c r="G360">
        <v>75000</v>
      </c>
      <c r="H360" s="1">
        <v>3</v>
      </c>
      <c r="I360" s="1" t="s">
        <v>28</v>
      </c>
      <c r="J360" s="1" t="s">
        <v>29</v>
      </c>
      <c r="K360">
        <v>225000</v>
      </c>
    </row>
    <row r="361" spans="1:11" x14ac:dyDescent="0.2">
      <c r="A361" s="2" t="s">
        <v>398</v>
      </c>
      <c r="B361" s="3">
        <v>45700</v>
      </c>
      <c r="C361" s="10" t="s">
        <v>15</v>
      </c>
      <c r="D361" s="10" t="s">
        <v>16</v>
      </c>
      <c r="E361" s="1" t="s">
        <v>31</v>
      </c>
      <c r="F361" s="1" t="s">
        <v>41</v>
      </c>
      <c r="G361">
        <v>225000</v>
      </c>
      <c r="H361" s="1">
        <v>3</v>
      </c>
      <c r="I361" s="1" t="s">
        <v>39</v>
      </c>
      <c r="J361" s="1" t="s">
        <v>29</v>
      </c>
      <c r="K361">
        <v>675000</v>
      </c>
    </row>
    <row r="362" spans="1:11" x14ac:dyDescent="0.2">
      <c r="A362" s="2" t="s">
        <v>399</v>
      </c>
      <c r="B362" s="3">
        <v>45836</v>
      </c>
      <c r="C362" s="10" t="s">
        <v>13</v>
      </c>
      <c r="D362" s="10" t="s">
        <v>14</v>
      </c>
      <c r="E362" s="1" t="s">
        <v>36</v>
      </c>
      <c r="F362" s="1" t="s">
        <v>34</v>
      </c>
      <c r="G362">
        <v>275000</v>
      </c>
      <c r="H362" s="1">
        <v>2</v>
      </c>
      <c r="I362" s="1" t="s">
        <v>28</v>
      </c>
      <c r="J362" s="1" t="s">
        <v>37</v>
      </c>
      <c r="K362">
        <v>550000</v>
      </c>
    </row>
    <row r="363" spans="1:11" x14ac:dyDescent="0.2">
      <c r="A363" s="2" t="s">
        <v>400</v>
      </c>
      <c r="B363" s="3">
        <v>45686</v>
      </c>
      <c r="C363" s="10" t="s">
        <v>15</v>
      </c>
      <c r="D363" s="10" t="s">
        <v>16</v>
      </c>
      <c r="E363" s="1" t="s">
        <v>36</v>
      </c>
      <c r="F363" s="1" t="s">
        <v>34</v>
      </c>
      <c r="G363">
        <v>225000</v>
      </c>
      <c r="H363" s="1">
        <v>3</v>
      </c>
      <c r="I363" s="1" t="s">
        <v>28</v>
      </c>
      <c r="J363" s="1" t="s">
        <v>37</v>
      </c>
      <c r="K363">
        <v>675000</v>
      </c>
    </row>
    <row r="364" spans="1:11" x14ac:dyDescent="0.2">
      <c r="A364" s="2" t="s">
        <v>401</v>
      </c>
      <c r="B364" s="3">
        <v>45707</v>
      </c>
      <c r="C364" s="10" t="s">
        <v>13</v>
      </c>
      <c r="D364" s="10" t="s">
        <v>14</v>
      </c>
      <c r="E364" s="1" t="s">
        <v>36</v>
      </c>
      <c r="F364" s="1" t="s">
        <v>34</v>
      </c>
      <c r="G364">
        <v>275000</v>
      </c>
      <c r="H364" s="1">
        <v>3</v>
      </c>
      <c r="I364" s="1" t="s">
        <v>39</v>
      </c>
      <c r="J364" s="1" t="s">
        <v>37</v>
      </c>
      <c r="K364">
        <v>825000</v>
      </c>
    </row>
    <row r="365" spans="1:11" x14ac:dyDescent="0.2">
      <c r="A365" s="2" t="s">
        <v>402</v>
      </c>
      <c r="B365" s="3">
        <v>45676</v>
      </c>
      <c r="C365" s="10" t="s">
        <v>13</v>
      </c>
      <c r="D365" s="10" t="s">
        <v>14</v>
      </c>
      <c r="E365" s="1" t="s">
        <v>36</v>
      </c>
      <c r="F365" s="1" t="s">
        <v>27</v>
      </c>
      <c r="G365">
        <v>275000</v>
      </c>
      <c r="H365" s="1">
        <v>3</v>
      </c>
      <c r="I365" s="1" t="s">
        <v>28</v>
      </c>
      <c r="J365" s="1" t="s">
        <v>37</v>
      </c>
      <c r="K365">
        <v>825000</v>
      </c>
    </row>
    <row r="366" spans="1:11" x14ac:dyDescent="0.2">
      <c r="A366" s="2" t="s">
        <v>403</v>
      </c>
      <c r="B366" s="3">
        <v>45810</v>
      </c>
      <c r="C366" s="10" t="s">
        <v>21</v>
      </c>
      <c r="D366" s="10" t="s">
        <v>22</v>
      </c>
      <c r="E366" s="1" t="s">
        <v>31</v>
      </c>
      <c r="F366" s="1" t="s">
        <v>27</v>
      </c>
      <c r="G366">
        <v>75000</v>
      </c>
      <c r="H366" s="1">
        <v>2</v>
      </c>
      <c r="I366" s="1" t="s">
        <v>39</v>
      </c>
      <c r="J366" s="1" t="s">
        <v>37</v>
      </c>
      <c r="K366">
        <v>150000</v>
      </c>
    </row>
    <row r="367" spans="1:11" x14ac:dyDescent="0.2">
      <c r="A367" s="2" t="s">
        <v>404</v>
      </c>
      <c r="B367" s="3">
        <v>45772</v>
      </c>
      <c r="C367" s="10" t="s">
        <v>11</v>
      </c>
      <c r="D367" s="10" t="s">
        <v>12</v>
      </c>
      <c r="E367" s="1" t="s">
        <v>31</v>
      </c>
      <c r="F367" s="1" t="s">
        <v>45</v>
      </c>
      <c r="G367">
        <v>350000</v>
      </c>
      <c r="H367" s="1">
        <v>1</v>
      </c>
      <c r="I367" s="1" t="s">
        <v>28</v>
      </c>
      <c r="J367" s="1" t="s">
        <v>37</v>
      </c>
      <c r="K367">
        <v>350000</v>
      </c>
    </row>
    <row r="368" spans="1:11" x14ac:dyDescent="0.2">
      <c r="A368" s="2" t="s">
        <v>405</v>
      </c>
      <c r="B368" s="3">
        <v>45680</v>
      </c>
      <c r="C368" s="10" t="s">
        <v>17</v>
      </c>
      <c r="D368" s="10" t="s">
        <v>18</v>
      </c>
      <c r="E368" s="1" t="s">
        <v>31</v>
      </c>
      <c r="F368" s="1" t="s">
        <v>41</v>
      </c>
      <c r="G368">
        <v>300000</v>
      </c>
      <c r="H368" s="1">
        <v>2</v>
      </c>
      <c r="I368" s="1" t="s">
        <v>39</v>
      </c>
      <c r="J368" s="1" t="s">
        <v>37</v>
      </c>
      <c r="K368">
        <v>600000</v>
      </c>
    </row>
    <row r="369" spans="1:11" x14ac:dyDescent="0.2">
      <c r="A369" s="2" t="s">
        <v>406</v>
      </c>
      <c r="B369" s="3">
        <v>45813</v>
      </c>
      <c r="C369" s="10" t="s">
        <v>15</v>
      </c>
      <c r="D369" s="10" t="s">
        <v>16</v>
      </c>
      <c r="E369" s="1" t="s">
        <v>31</v>
      </c>
      <c r="F369" s="1" t="s">
        <v>60</v>
      </c>
      <c r="G369">
        <v>225000</v>
      </c>
      <c r="H369" s="1">
        <v>3</v>
      </c>
      <c r="I369" s="1" t="s">
        <v>28</v>
      </c>
      <c r="J369" s="1" t="s">
        <v>29</v>
      </c>
      <c r="K369">
        <v>675000</v>
      </c>
    </row>
    <row r="370" spans="1:11" x14ac:dyDescent="0.2">
      <c r="A370" s="2" t="s">
        <v>407</v>
      </c>
      <c r="B370" s="3">
        <v>45799</v>
      </c>
      <c r="C370" s="10" t="s">
        <v>23</v>
      </c>
      <c r="D370" s="10" t="s">
        <v>12</v>
      </c>
      <c r="E370" s="1" t="s">
        <v>26</v>
      </c>
      <c r="F370" s="1" t="s">
        <v>60</v>
      </c>
      <c r="G370">
        <v>375000</v>
      </c>
      <c r="H370" s="1">
        <v>1</v>
      </c>
      <c r="I370" s="1" t="s">
        <v>39</v>
      </c>
      <c r="J370" s="1" t="s">
        <v>29</v>
      </c>
      <c r="K370">
        <v>375000</v>
      </c>
    </row>
    <row r="371" spans="1:11" x14ac:dyDescent="0.2">
      <c r="A371" s="2" t="s">
        <v>408</v>
      </c>
      <c r="B371" s="3">
        <v>45663</v>
      </c>
      <c r="C371" s="10" t="s">
        <v>19</v>
      </c>
      <c r="D371" s="10" t="s">
        <v>20</v>
      </c>
      <c r="E371" s="1" t="s">
        <v>47</v>
      </c>
      <c r="F371" s="1" t="s">
        <v>41</v>
      </c>
      <c r="G371">
        <v>250000</v>
      </c>
      <c r="H371" s="1">
        <v>1</v>
      </c>
      <c r="I371" s="1" t="s">
        <v>39</v>
      </c>
      <c r="J371" s="1" t="s">
        <v>37</v>
      </c>
      <c r="K371">
        <v>250000</v>
      </c>
    </row>
    <row r="372" spans="1:11" x14ac:dyDescent="0.2">
      <c r="A372" s="2" t="s">
        <v>409</v>
      </c>
      <c r="B372" s="3">
        <v>45686</v>
      </c>
      <c r="C372" s="10" t="s">
        <v>19</v>
      </c>
      <c r="D372" s="10" t="s">
        <v>20</v>
      </c>
      <c r="E372" s="1" t="s">
        <v>26</v>
      </c>
      <c r="F372" s="1" t="s">
        <v>45</v>
      </c>
      <c r="G372">
        <v>250000</v>
      </c>
      <c r="H372" s="1">
        <v>3</v>
      </c>
      <c r="I372" s="1" t="s">
        <v>39</v>
      </c>
      <c r="J372" s="1" t="s">
        <v>29</v>
      </c>
      <c r="K372">
        <v>750000</v>
      </c>
    </row>
    <row r="373" spans="1:11" x14ac:dyDescent="0.2">
      <c r="A373" s="2" t="s">
        <v>410</v>
      </c>
      <c r="B373" s="3">
        <v>45741</v>
      </c>
      <c r="C373" s="10" t="s">
        <v>24</v>
      </c>
      <c r="D373" s="10" t="s">
        <v>16</v>
      </c>
      <c r="E373" s="1" t="s">
        <v>31</v>
      </c>
      <c r="F373" s="1" t="s">
        <v>27</v>
      </c>
      <c r="G373">
        <v>240000</v>
      </c>
      <c r="H373" s="1">
        <v>3</v>
      </c>
      <c r="I373" s="1" t="s">
        <v>39</v>
      </c>
      <c r="J373" s="1" t="s">
        <v>29</v>
      </c>
      <c r="K373">
        <v>720000</v>
      </c>
    </row>
    <row r="374" spans="1:11" x14ac:dyDescent="0.2">
      <c r="A374" s="2" t="s">
        <v>411</v>
      </c>
      <c r="B374" s="3">
        <v>45777</v>
      </c>
      <c r="C374" s="10" t="s">
        <v>15</v>
      </c>
      <c r="D374" s="10" t="s">
        <v>16</v>
      </c>
      <c r="E374" s="1" t="s">
        <v>26</v>
      </c>
      <c r="F374" s="1" t="s">
        <v>32</v>
      </c>
      <c r="G374">
        <v>225000</v>
      </c>
      <c r="H374" s="1">
        <v>2</v>
      </c>
      <c r="I374" s="1" t="s">
        <v>28</v>
      </c>
      <c r="J374" s="1" t="s">
        <v>37</v>
      </c>
      <c r="K374">
        <v>450000</v>
      </c>
    </row>
    <row r="375" spans="1:11" x14ac:dyDescent="0.2">
      <c r="A375" s="2" t="s">
        <v>412</v>
      </c>
      <c r="B375" s="3">
        <v>45723</v>
      </c>
      <c r="C375" s="10" t="s">
        <v>11</v>
      </c>
      <c r="D375" s="10" t="s">
        <v>12</v>
      </c>
      <c r="E375" s="1" t="s">
        <v>26</v>
      </c>
      <c r="F375" s="1" t="s">
        <v>45</v>
      </c>
      <c r="G375">
        <v>350000</v>
      </c>
      <c r="H375" s="1">
        <v>2</v>
      </c>
      <c r="I375" s="1" t="s">
        <v>28</v>
      </c>
      <c r="J375" s="1" t="s">
        <v>37</v>
      </c>
      <c r="K375">
        <v>700000</v>
      </c>
    </row>
    <row r="376" spans="1:11" x14ac:dyDescent="0.2">
      <c r="A376" s="2" t="s">
        <v>413</v>
      </c>
      <c r="B376" s="3">
        <v>45752</v>
      </c>
      <c r="C376" s="10" t="s">
        <v>21</v>
      </c>
      <c r="D376" s="10" t="s">
        <v>22</v>
      </c>
      <c r="E376" s="1" t="s">
        <v>36</v>
      </c>
      <c r="F376" s="1" t="s">
        <v>60</v>
      </c>
      <c r="G376">
        <v>75000</v>
      </c>
      <c r="H376" s="1">
        <v>2</v>
      </c>
      <c r="I376" s="1" t="s">
        <v>39</v>
      </c>
      <c r="J376" s="1" t="s">
        <v>37</v>
      </c>
      <c r="K376">
        <v>150000</v>
      </c>
    </row>
    <row r="377" spans="1:11" x14ac:dyDescent="0.2">
      <c r="A377" s="2" t="s">
        <v>414</v>
      </c>
      <c r="B377" s="3">
        <v>45671</v>
      </c>
      <c r="C377" s="10" t="s">
        <v>13</v>
      </c>
      <c r="D377" s="10" t="s">
        <v>14</v>
      </c>
      <c r="E377" s="1" t="s">
        <v>36</v>
      </c>
      <c r="F377" s="1" t="s">
        <v>41</v>
      </c>
      <c r="G377">
        <v>275000</v>
      </c>
      <c r="H377" s="1">
        <v>3</v>
      </c>
      <c r="I377" s="1" t="s">
        <v>39</v>
      </c>
      <c r="J377" s="1" t="s">
        <v>29</v>
      </c>
      <c r="K377">
        <v>825000</v>
      </c>
    </row>
    <row r="378" spans="1:11" x14ac:dyDescent="0.2">
      <c r="A378" s="2" t="s">
        <v>415</v>
      </c>
      <c r="B378" s="3">
        <v>45824</v>
      </c>
      <c r="C378" s="10" t="s">
        <v>19</v>
      </c>
      <c r="D378" s="10" t="s">
        <v>20</v>
      </c>
      <c r="E378" s="1" t="s">
        <v>47</v>
      </c>
      <c r="F378" s="1" t="s">
        <v>32</v>
      </c>
      <c r="G378">
        <v>250000</v>
      </c>
      <c r="H378" s="1">
        <v>1</v>
      </c>
      <c r="I378" s="1" t="s">
        <v>28</v>
      </c>
      <c r="J378" s="1" t="s">
        <v>37</v>
      </c>
      <c r="K378">
        <v>250000</v>
      </c>
    </row>
    <row r="379" spans="1:11" x14ac:dyDescent="0.2">
      <c r="A379" s="2" t="s">
        <v>416</v>
      </c>
      <c r="B379" s="3">
        <v>45680</v>
      </c>
      <c r="C379" s="10" t="s">
        <v>24</v>
      </c>
      <c r="D379" s="10" t="s">
        <v>16</v>
      </c>
      <c r="E379" s="1" t="s">
        <v>31</v>
      </c>
      <c r="F379" s="1" t="s">
        <v>45</v>
      </c>
      <c r="G379">
        <v>240000</v>
      </c>
      <c r="H379" s="1">
        <v>1</v>
      </c>
      <c r="I379" s="1" t="s">
        <v>39</v>
      </c>
      <c r="J379" s="1" t="s">
        <v>37</v>
      </c>
      <c r="K379">
        <v>240000</v>
      </c>
    </row>
    <row r="380" spans="1:11" x14ac:dyDescent="0.2">
      <c r="A380" s="2" t="s">
        <v>417</v>
      </c>
      <c r="B380" s="3">
        <v>45718</v>
      </c>
      <c r="C380" s="10" t="s">
        <v>13</v>
      </c>
      <c r="D380" s="10" t="s">
        <v>14</v>
      </c>
      <c r="E380" s="1" t="s">
        <v>47</v>
      </c>
      <c r="F380" s="1" t="s">
        <v>45</v>
      </c>
      <c r="G380">
        <v>275000</v>
      </c>
      <c r="H380" s="1">
        <v>3</v>
      </c>
      <c r="I380" s="1" t="s">
        <v>28</v>
      </c>
      <c r="J380" s="1" t="s">
        <v>37</v>
      </c>
      <c r="K380">
        <v>825000</v>
      </c>
    </row>
    <row r="381" spans="1:11" x14ac:dyDescent="0.2">
      <c r="A381" s="2" t="s">
        <v>418</v>
      </c>
      <c r="B381" s="3">
        <v>45817</v>
      </c>
      <c r="C381" s="10" t="s">
        <v>15</v>
      </c>
      <c r="D381" s="10" t="s">
        <v>16</v>
      </c>
      <c r="E381" s="1" t="s">
        <v>26</v>
      </c>
      <c r="F381" s="1" t="s">
        <v>41</v>
      </c>
      <c r="G381">
        <v>225000</v>
      </c>
      <c r="H381" s="1">
        <v>1</v>
      </c>
      <c r="I381" s="1" t="s">
        <v>39</v>
      </c>
      <c r="J381" s="1" t="s">
        <v>29</v>
      </c>
      <c r="K381">
        <v>225000</v>
      </c>
    </row>
    <row r="382" spans="1:11" x14ac:dyDescent="0.2">
      <c r="A382" s="2" t="s">
        <v>419</v>
      </c>
      <c r="B382" s="3">
        <v>45675</v>
      </c>
      <c r="C382" s="10" t="s">
        <v>24</v>
      </c>
      <c r="D382" s="10" t="s">
        <v>16</v>
      </c>
      <c r="E382" s="1" t="s">
        <v>47</v>
      </c>
      <c r="F382" s="1" t="s">
        <v>32</v>
      </c>
      <c r="G382">
        <v>240000</v>
      </c>
      <c r="H382" s="1">
        <v>2</v>
      </c>
      <c r="I382" s="1" t="s">
        <v>39</v>
      </c>
      <c r="J382" s="1" t="s">
        <v>37</v>
      </c>
      <c r="K382">
        <v>480000</v>
      </c>
    </row>
    <row r="383" spans="1:11" x14ac:dyDescent="0.2">
      <c r="A383" s="2" t="s">
        <v>420</v>
      </c>
      <c r="B383" s="3">
        <v>45682</v>
      </c>
      <c r="C383" s="10" t="s">
        <v>24</v>
      </c>
      <c r="D383" s="10" t="s">
        <v>16</v>
      </c>
      <c r="E383" s="1" t="s">
        <v>36</v>
      </c>
      <c r="F383" s="1" t="s">
        <v>32</v>
      </c>
      <c r="G383">
        <v>240000</v>
      </c>
      <c r="H383" s="1">
        <v>1</v>
      </c>
      <c r="I383" s="1" t="s">
        <v>28</v>
      </c>
      <c r="J383" s="1" t="s">
        <v>37</v>
      </c>
      <c r="K383">
        <v>240000</v>
      </c>
    </row>
    <row r="384" spans="1:11" x14ac:dyDescent="0.2">
      <c r="A384" s="2" t="s">
        <v>421</v>
      </c>
      <c r="B384" s="3">
        <v>45739</v>
      </c>
      <c r="C384" s="10" t="s">
        <v>11</v>
      </c>
      <c r="D384" s="10" t="s">
        <v>12</v>
      </c>
      <c r="E384" s="1" t="s">
        <v>47</v>
      </c>
      <c r="F384" s="1" t="s">
        <v>60</v>
      </c>
      <c r="G384">
        <v>350000</v>
      </c>
      <c r="H384" s="1">
        <v>2</v>
      </c>
      <c r="I384" s="1" t="s">
        <v>39</v>
      </c>
      <c r="J384" s="1" t="s">
        <v>37</v>
      </c>
      <c r="K384">
        <v>700000</v>
      </c>
    </row>
    <row r="385" spans="1:11" x14ac:dyDescent="0.2">
      <c r="A385" s="2" t="s">
        <v>422</v>
      </c>
      <c r="B385" s="3">
        <v>45719</v>
      </c>
      <c r="C385" s="10" t="s">
        <v>11</v>
      </c>
      <c r="D385" s="10" t="s">
        <v>12</v>
      </c>
      <c r="E385" s="1" t="s">
        <v>47</v>
      </c>
      <c r="F385" s="1" t="s">
        <v>34</v>
      </c>
      <c r="G385">
        <v>350000</v>
      </c>
      <c r="H385" s="1">
        <v>1</v>
      </c>
      <c r="I385" s="1" t="s">
        <v>39</v>
      </c>
      <c r="J385" s="1" t="s">
        <v>29</v>
      </c>
      <c r="K385">
        <v>350000</v>
      </c>
    </row>
    <row r="386" spans="1:11" x14ac:dyDescent="0.2">
      <c r="A386" s="2" t="s">
        <v>423</v>
      </c>
      <c r="B386" s="3">
        <v>45757</v>
      </c>
      <c r="C386" s="10" t="s">
        <v>13</v>
      </c>
      <c r="D386" s="10" t="s">
        <v>14</v>
      </c>
      <c r="E386" s="1" t="s">
        <v>47</v>
      </c>
      <c r="F386" s="1" t="s">
        <v>45</v>
      </c>
      <c r="G386">
        <v>275000</v>
      </c>
      <c r="H386" s="1">
        <v>1</v>
      </c>
      <c r="I386" s="1" t="s">
        <v>39</v>
      </c>
      <c r="J386" s="1" t="s">
        <v>37</v>
      </c>
      <c r="K386">
        <v>275000</v>
      </c>
    </row>
    <row r="387" spans="1:11" x14ac:dyDescent="0.2">
      <c r="A387" s="2" t="s">
        <v>424</v>
      </c>
      <c r="B387" s="3">
        <v>45724</v>
      </c>
      <c r="C387" s="10" t="s">
        <v>19</v>
      </c>
      <c r="D387" s="10" t="s">
        <v>20</v>
      </c>
      <c r="E387" s="1" t="s">
        <v>26</v>
      </c>
      <c r="F387" s="1" t="s">
        <v>41</v>
      </c>
      <c r="G387">
        <v>250000</v>
      </c>
      <c r="H387" s="1">
        <v>1</v>
      </c>
      <c r="I387" s="1" t="s">
        <v>39</v>
      </c>
      <c r="J387" s="1" t="s">
        <v>29</v>
      </c>
      <c r="K387">
        <v>250000</v>
      </c>
    </row>
    <row r="388" spans="1:11" x14ac:dyDescent="0.2">
      <c r="A388" s="2" t="s">
        <v>425</v>
      </c>
      <c r="B388" s="3">
        <v>45725</v>
      </c>
      <c r="C388" s="10" t="s">
        <v>13</v>
      </c>
      <c r="D388" s="10" t="s">
        <v>14</v>
      </c>
      <c r="E388" s="1" t="s">
        <v>36</v>
      </c>
      <c r="F388" s="1" t="s">
        <v>41</v>
      </c>
      <c r="G388">
        <v>275000</v>
      </c>
      <c r="H388" s="1">
        <v>1</v>
      </c>
      <c r="I388" s="1" t="s">
        <v>28</v>
      </c>
      <c r="J388" s="1" t="s">
        <v>37</v>
      </c>
      <c r="K388">
        <v>275000</v>
      </c>
    </row>
    <row r="389" spans="1:11" x14ac:dyDescent="0.2">
      <c r="A389" s="2" t="s">
        <v>426</v>
      </c>
      <c r="B389" s="3">
        <v>45803</v>
      </c>
      <c r="C389" s="10" t="s">
        <v>24</v>
      </c>
      <c r="D389" s="10" t="s">
        <v>16</v>
      </c>
      <c r="E389" s="1" t="s">
        <v>36</v>
      </c>
      <c r="F389" s="1" t="s">
        <v>32</v>
      </c>
      <c r="G389">
        <v>240000</v>
      </c>
      <c r="H389" s="1">
        <v>2</v>
      </c>
      <c r="I389" s="1" t="s">
        <v>28</v>
      </c>
      <c r="J389" s="1" t="s">
        <v>29</v>
      </c>
      <c r="K389">
        <v>480000</v>
      </c>
    </row>
    <row r="390" spans="1:11" x14ac:dyDescent="0.2">
      <c r="A390" s="2" t="s">
        <v>427</v>
      </c>
      <c r="B390" s="3">
        <v>45785</v>
      </c>
      <c r="C390" s="10" t="s">
        <v>15</v>
      </c>
      <c r="D390" s="10" t="s">
        <v>16</v>
      </c>
      <c r="E390" s="1" t="s">
        <v>31</v>
      </c>
      <c r="F390" s="1" t="s">
        <v>41</v>
      </c>
      <c r="G390">
        <v>225000</v>
      </c>
      <c r="H390" s="1">
        <v>1</v>
      </c>
      <c r="I390" s="1" t="s">
        <v>28</v>
      </c>
      <c r="J390" s="1" t="s">
        <v>29</v>
      </c>
      <c r="K390">
        <v>225000</v>
      </c>
    </row>
    <row r="391" spans="1:11" x14ac:dyDescent="0.2">
      <c r="A391" s="2" t="s">
        <v>428</v>
      </c>
      <c r="B391" s="3">
        <v>45674</v>
      </c>
      <c r="C391" s="10" t="s">
        <v>19</v>
      </c>
      <c r="D391" s="10" t="s">
        <v>20</v>
      </c>
      <c r="E391" s="1" t="s">
        <v>47</v>
      </c>
      <c r="F391" s="1" t="s">
        <v>32</v>
      </c>
      <c r="G391">
        <v>250000</v>
      </c>
      <c r="H391" s="1">
        <v>2</v>
      </c>
      <c r="I391" s="1" t="s">
        <v>28</v>
      </c>
      <c r="J391" s="1" t="s">
        <v>37</v>
      </c>
      <c r="K391">
        <v>500000</v>
      </c>
    </row>
    <row r="392" spans="1:11" x14ac:dyDescent="0.2">
      <c r="A392" s="2" t="s">
        <v>429</v>
      </c>
      <c r="B392" s="3">
        <v>45800</v>
      </c>
      <c r="C392" s="10" t="s">
        <v>19</v>
      </c>
      <c r="D392" s="10" t="s">
        <v>20</v>
      </c>
      <c r="E392" s="1" t="s">
        <v>26</v>
      </c>
      <c r="F392" s="1" t="s">
        <v>34</v>
      </c>
      <c r="G392">
        <v>250000</v>
      </c>
      <c r="H392" s="1">
        <v>1</v>
      </c>
      <c r="I392" s="1" t="s">
        <v>28</v>
      </c>
      <c r="J392" s="1" t="s">
        <v>29</v>
      </c>
      <c r="K392">
        <v>250000</v>
      </c>
    </row>
    <row r="393" spans="1:11" x14ac:dyDescent="0.2">
      <c r="A393" s="2" t="s">
        <v>430</v>
      </c>
      <c r="B393" s="3">
        <v>45796</v>
      </c>
      <c r="C393" s="10" t="s">
        <v>17</v>
      </c>
      <c r="D393" s="10" t="s">
        <v>18</v>
      </c>
      <c r="E393" s="1" t="s">
        <v>47</v>
      </c>
      <c r="F393" s="1" t="s">
        <v>27</v>
      </c>
      <c r="G393">
        <v>300000</v>
      </c>
      <c r="H393" s="1">
        <v>2</v>
      </c>
      <c r="I393" s="1" t="s">
        <v>28</v>
      </c>
      <c r="J393" s="1" t="s">
        <v>37</v>
      </c>
      <c r="K393">
        <v>600000</v>
      </c>
    </row>
    <row r="394" spans="1:11" x14ac:dyDescent="0.2">
      <c r="A394" s="2" t="s">
        <v>431</v>
      </c>
      <c r="B394" s="3">
        <v>45677</v>
      </c>
      <c r="C394" s="10" t="s">
        <v>19</v>
      </c>
      <c r="D394" s="10" t="s">
        <v>20</v>
      </c>
      <c r="E394" s="1" t="s">
        <v>47</v>
      </c>
      <c r="F394" s="1" t="s">
        <v>27</v>
      </c>
      <c r="G394">
        <v>250000</v>
      </c>
      <c r="H394" s="1">
        <v>1</v>
      </c>
      <c r="I394" s="1" t="s">
        <v>28</v>
      </c>
      <c r="J394" s="1" t="s">
        <v>37</v>
      </c>
      <c r="K394">
        <v>250000</v>
      </c>
    </row>
    <row r="395" spans="1:11" x14ac:dyDescent="0.2">
      <c r="A395" s="2" t="s">
        <v>432</v>
      </c>
      <c r="B395" s="3">
        <v>45689</v>
      </c>
      <c r="C395" s="10" t="s">
        <v>23</v>
      </c>
      <c r="D395" s="10" t="s">
        <v>12</v>
      </c>
      <c r="E395" s="1" t="s">
        <v>31</v>
      </c>
      <c r="F395" s="1" t="s">
        <v>45</v>
      </c>
      <c r="G395">
        <v>375000</v>
      </c>
      <c r="H395" s="1">
        <v>3</v>
      </c>
      <c r="I395" s="1" t="s">
        <v>28</v>
      </c>
      <c r="J395" s="1" t="s">
        <v>29</v>
      </c>
      <c r="K395">
        <v>1125000</v>
      </c>
    </row>
    <row r="396" spans="1:11" x14ac:dyDescent="0.2">
      <c r="A396" s="2" t="s">
        <v>433</v>
      </c>
      <c r="B396" s="3">
        <v>45672</v>
      </c>
      <c r="C396" s="10" t="s">
        <v>11</v>
      </c>
      <c r="D396" s="10" t="s">
        <v>12</v>
      </c>
      <c r="E396" s="1" t="s">
        <v>36</v>
      </c>
      <c r="F396" s="1" t="s">
        <v>32</v>
      </c>
      <c r="G396">
        <v>350000</v>
      </c>
      <c r="H396" s="1">
        <v>3</v>
      </c>
      <c r="I396" s="1" t="s">
        <v>39</v>
      </c>
      <c r="J396" s="1" t="s">
        <v>37</v>
      </c>
      <c r="K396">
        <v>1050000</v>
      </c>
    </row>
    <row r="397" spans="1:11" x14ac:dyDescent="0.2">
      <c r="A397" s="2" t="s">
        <v>434</v>
      </c>
      <c r="B397" s="3">
        <v>45662</v>
      </c>
      <c r="C397" s="10" t="s">
        <v>21</v>
      </c>
      <c r="D397" s="10" t="s">
        <v>22</v>
      </c>
      <c r="E397" s="1" t="s">
        <v>26</v>
      </c>
      <c r="F397" s="1" t="s">
        <v>60</v>
      </c>
      <c r="G397">
        <v>75000</v>
      </c>
      <c r="H397" s="1">
        <v>1</v>
      </c>
      <c r="I397" s="1" t="s">
        <v>39</v>
      </c>
      <c r="J397" s="1" t="s">
        <v>37</v>
      </c>
      <c r="K397">
        <v>75000</v>
      </c>
    </row>
    <row r="398" spans="1:11" x14ac:dyDescent="0.2">
      <c r="A398" s="2" t="s">
        <v>435</v>
      </c>
      <c r="B398" s="3">
        <v>45809</v>
      </c>
      <c r="C398" s="10" t="s">
        <v>17</v>
      </c>
      <c r="D398" s="10" t="s">
        <v>18</v>
      </c>
      <c r="E398" s="1" t="s">
        <v>47</v>
      </c>
      <c r="F398" s="1" t="s">
        <v>27</v>
      </c>
      <c r="G398">
        <v>300000</v>
      </c>
      <c r="H398" s="1">
        <v>1</v>
      </c>
      <c r="I398" s="1" t="s">
        <v>39</v>
      </c>
      <c r="J398" s="1" t="s">
        <v>37</v>
      </c>
      <c r="K398">
        <v>300000</v>
      </c>
    </row>
    <row r="399" spans="1:11" x14ac:dyDescent="0.2">
      <c r="A399" s="2" t="s">
        <v>436</v>
      </c>
      <c r="B399" s="3">
        <v>45832</v>
      </c>
      <c r="C399" s="10" t="s">
        <v>15</v>
      </c>
      <c r="D399" s="10" t="s">
        <v>16</v>
      </c>
      <c r="E399" s="1" t="s">
        <v>26</v>
      </c>
      <c r="F399" s="1" t="s">
        <v>41</v>
      </c>
      <c r="G399">
        <v>225000</v>
      </c>
      <c r="H399" s="1">
        <v>1</v>
      </c>
      <c r="I399" s="1" t="s">
        <v>39</v>
      </c>
      <c r="J399" s="1" t="s">
        <v>37</v>
      </c>
      <c r="K399">
        <v>225000</v>
      </c>
    </row>
    <row r="400" spans="1:11" x14ac:dyDescent="0.2">
      <c r="A400" s="2" t="s">
        <v>437</v>
      </c>
      <c r="B400" s="3">
        <v>45662</v>
      </c>
      <c r="C400" s="10" t="s">
        <v>24</v>
      </c>
      <c r="D400" s="10" t="s">
        <v>16</v>
      </c>
      <c r="E400" s="1" t="s">
        <v>36</v>
      </c>
      <c r="F400" s="1" t="s">
        <v>27</v>
      </c>
      <c r="G400">
        <v>240000</v>
      </c>
      <c r="H400" s="1">
        <v>2</v>
      </c>
      <c r="I400" s="1" t="s">
        <v>39</v>
      </c>
      <c r="J400" s="1" t="s">
        <v>29</v>
      </c>
      <c r="K400">
        <v>480000</v>
      </c>
    </row>
    <row r="401" spans="1:11" x14ac:dyDescent="0.2">
      <c r="A401" s="2" t="s">
        <v>438</v>
      </c>
      <c r="B401" s="3">
        <v>45701</v>
      </c>
      <c r="C401" s="10" t="s">
        <v>19</v>
      </c>
      <c r="D401" s="10" t="s">
        <v>20</v>
      </c>
      <c r="E401" s="1" t="s">
        <v>26</v>
      </c>
      <c r="F401" s="1" t="s">
        <v>27</v>
      </c>
      <c r="G401">
        <v>250000</v>
      </c>
      <c r="H401" s="1">
        <v>1</v>
      </c>
      <c r="I401" s="1" t="s">
        <v>39</v>
      </c>
      <c r="J401" s="1" t="s">
        <v>37</v>
      </c>
      <c r="K401">
        <v>250000</v>
      </c>
    </row>
    <row r="402" spans="1:11" x14ac:dyDescent="0.2">
      <c r="A402" s="2" t="s">
        <v>439</v>
      </c>
      <c r="B402" s="3">
        <v>45703</v>
      </c>
      <c r="C402" s="10" t="s">
        <v>19</v>
      </c>
      <c r="D402" s="10" t="s">
        <v>20</v>
      </c>
      <c r="E402" s="1" t="s">
        <v>47</v>
      </c>
      <c r="F402" s="1" t="s">
        <v>32</v>
      </c>
      <c r="G402">
        <v>250000</v>
      </c>
      <c r="H402" s="1">
        <v>1</v>
      </c>
      <c r="I402" s="1" t="s">
        <v>28</v>
      </c>
      <c r="J402" s="1" t="s">
        <v>37</v>
      </c>
      <c r="K402">
        <v>250000</v>
      </c>
    </row>
    <row r="403" spans="1:11" x14ac:dyDescent="0.2">
      <c r="A403" s="2" t="s">
        <v>440</v>
      </c>
      <c r="B403" s="3">
        <v>45836</v>
      </c>
      <c r="C403" s="10" t="s">
        <v>17</v>
      </c>
      <c r="D403" s="10" t="s">
        <v>18</v>
      </c>
      <c r="E403" s="1" t="s">
        <v>31</v>
      </c>
      <c r="F403" s="1" t="s">
        <v>27</v>
      </c>
      <c r="G403">
        <v>300000</v>
      </c>
      <c r="H403" s="1">
        <v>1</v>
      </c>
      <c r="I403" s="1" t="s">
        <v>39</v>
      </c>
      <c r="J403" s="1" t="s">
        <v>29</v>
      </c>
      <c r="K403">
        <v>300000</v>
      </c>
    </row>
    <row r="404" spans="1:11" x14ac:dyDescent="0.2">
      <c r="A404" s="2" t="s">
        <v>441</v>
      </c>
      <c r="B404" s="3">
        <v>45735</v>
      </c>
      <c r="C404" s="10" t="s">
        <v>17</v>
      </c>
      <c r="D404" s="10" t="s">
        <v>18</v>
      </c>
      <c r="E404" s="1" t="s">
        <v>31</v>
      </c>
      <c r="F404" s="1" t="s">
        <v>60</v>
      </c>
      <c r="G404">
        <v>300000</v>
      </c>
      <c r="H404" s="1">
        <v>2</v>
      </c>
      <c r="I404" s="1" t="s">
        <v>39</v>
      </c>
      <c r="J404" s="1" t="s">
        <v>29</v>
      </c>
      <c r="K404">
        <v>600000</v>
      </c>
    </row>
    <row r="405" spans="1:11" x14ac:dyDescent="0.2">
      <c r="A405" s="2" t="s">
        <v>442</v>
      </c>
      <c r="B405" s="3">
        <v>45780</v>
      </c>
      <c r="C405" s="10" t="s">
        <v>21</v>
      </c>
      <c r="D405" s="10" t="s">
        <v>22</v>
      </c>
      <c r="E405" s="1" t="s">
        <v>26</v>
      </c>
      <c r="F405" s="1" t="s">
        <v>32</v>
      </c>
      <c r="G405">
        <v>75000</v>
      </c>
      <c r="H405" s="1">
        <v>3</v>
      </c>
      <c r="I405" s="1" t="s">
        <v>28</v>
      </c>
      <c r="J405" s="1" t="s">
        <v>37</v>
      </c>
      <c r="K405">
        <v>225000</v>
      </c>
    </row>
    <row r="406" spans="1:11" x14ac:dyDescent="0.2">
      <c r="A406" s="2" t="s">
        <v>443</v>
      </c>
      <c r="B406" s="3">
        <v>45832</v>
      </c>
      <c r="C406" s="10" t="s">
        <v>21</v>
      </c>
      <c r="D406" s="10" t="s">
        <v>22</v>
      </c>
      <c r="E406" s="1" t="s">
        <v>36</v>
      </c>
      <c r="F406" s="1" t="s">
        <v>60</v>
      </c>
      <c r="G406">
        <v>75000</v>
      </c>
      <c r="H406" s="1">
        <v>2</v>
      </c>
      <c r="I406" s="1" t="s">
        <v>39</v>
      </c>
      <c r="J406" s="1" t="s">
        <v>37</v>
      </c>
      <c r="K406">
        <v>150000</v>
      </c>
    </row>
    <row r="407" spans="1:11" x14ac:dyDescent="0.2">
      <c r="A407" s="2" t="s">
        <v>444</v>
      </c>
      <c r="B407" s="3">
        <v>45740</v>
      </c>
      <c r="C407" s="10" t="s">
        <v>13</v>
      </c>
      <c r="D407" s="10" t="s">
        <v>14</v>
      </c>
      <c r="E407" s="1" t="s">
        <v>26</v>
      </c>
      <c r="F407" s="1" t="s">
        <v>41</v>
      </c>
      <c r="G407">
        <v>275000</v>
      </c>
      <c r="H407" s="1">
        <v>3</v>
      </c>
      <c r="I407" s="1" t="s">
        <v>28</v>
      </c>
      <c r="J407" s="1" t="s">
        <v>29</v>
      </c>
      <c r="K407">
        <v>825000</v>
      </c>
    </row>
    <row r="408" spans="1:11" x14ac:dyDescent="0.2">
      <c r="A408" s="2" t="s">
        <v>445</v>
      </c>
      <c r="B408" s="3">
        <v>45735</v>
      </c>
      <c r="C408" s="10" t="s">
        <v>11</v>
      </c>
      <c r="D408" s="10" t="s">
        <v>12</v>
      </c>
      <c r="E408" s="1" t="s">
        <v>36</v>
      </c>
      <c r="F408" s="1" t="s">
        <v>41</v>
      </c>
      <c r="G408">
        <v>350000</v>
      </c>
      <c r="H408" s="1">
        <v>2</v>
      </c>
      <c r="I408" s="1" t="s">
        <v>39</v>
      </c>
      <c r="J408" s="1" t="s">
        <v>37</v>
      </c>
      <c r="K408">
        <v>700000</v>
      </c>
    </row>
    <row r="409" spans="1:11" x14ac:dyDescent="0.2">
      <c r="A409" s="2" t="s">
        <v>446</v>
      </c>
      <c r="B409" s="3">
        <v>45659</v>
      </c>
      <c r="C409" s="10" t="s">
        <v>11</v>
      </c>
      <c r="D409" s="10" t="s">
        <v>12</v>
      </c>
      <c r="E409" s="1" t="s">
        <v>31</v>
      </c>
      <c r="F409" s="1" t="s">
        <v>60</v>
      </c>
      <c r="G409">
        <v>350000</v>
      </c>
      <c r="H409" s="1">
        <v>1</v>
      </c>
      <c r="I409" s="1" t="s">
        <v>28</v>
      </c>
      <c r="J409" s="1" t="s">
        <v>37</v>
      </c>
      <c r="K409">
        <v>350000</v>
      </c>
    </row>
    <row r="410" spans="1:11" x14ac:dyDescent="0.2">
      <c r="A410" s="2" t="s">
        <v>447</v>
      </c>
      <c r="B410" s="3">
        <v>45687</v>
      </c>
      <c r="C410" s="10" t="s">
        <v>11</v>
      </c>
      <c r="D410" s="10" t="s">
        <v>12</v>
      </c>
      <c r="E410" s="1" t="s">
        <v>26</v>
      </c>
      <c r="F410" s="1" t="s">
        <v>60</v>
      </c>
      <c r="G410">
        <v>350000</v>
      </c>
      <c r="H410" s="1">
        <v>3</v>
      </c>
      <c r="I410" s="1" t="s">
        <v>28</v>
      </c>
      <c r="J410" s="1" t="s">
        <v>37</v>
      </c>
      <c r="K410">
        <v>1050000</v>
      </c>
    </row>
    <row r="411" spans="1:11" x14ac:dyDescent="0.2">
      <c r="A411" s="2" t="s">
        <v>448</v>
      </c>
      <c r="B411" s="3">
        <v>45667</v>
      </c>
      <c r="C411" s="10" t="s">
        <v>13</v>
      </c>
      <c r="D411" s="10" t="s">
        <v>14</v>
      </c>
      <c r="E411" s="1" t="s">
        <v>31</v>
      </c>
      <c r="F411" s="1" t="s">
        <v>34</v>
      </c>
      <c r="G411">
        <v>275000</v>
      </c>
      <c r="H411" s="1">
        <v>2</v>
      </c>
      <c r="I411" s="1" t="s">
        <v>39</v>
      </c>
      <c r="J411" s="1" t="s">
        <v>37</v>
      </c>
      <c r="K411">
        <v>550000</v>
      </c>
    </row>
    <row r="412" spans="1:11" x14ac:dyDescent="0.2">
      <c r="A412" s="2" t="s">
        <v>449</v>
      </c>
      <c r="B412" s="3">
        <v>45710</v>
      </c>
      <c r="C412" s="10" t="s">
        <v>19</v>
      </c>
      <c r="D412" s="10" t="s">
        <v>20</v>
      </c>
      <c r="E412" s="1" t="s">
        <v>36</v>
      </c>
      <c r="F412" s="1" t="s">
        <v>34</v>
      </c>
      <c r="G412">
        <v>250000</v>
      </c>
      <c r="H412" s="1">
        <v>1</v>
      </c>
      <c r="I412" s="1" t="s">
        <v>39</v>
      </c>
      <c r="J412" s="1" t="s">
        <v>37</v>
      </c>
      <c r="K412">
        <v>250000</v>
      </c>
    </row>
    <row r="413" spans="1:11" x14ac:dyDescent="0.2">
      <c r="A413" s="2" t="s">
        <v>450</v>
      </c>
      <c r="B413" s="3">
        <v>45771</v>
      </c>
      <c r="C413" s="10" t="s">
        <v>23</v>
      </c>
      <c r="D413" s="10" t="s">
        <v>12</v>
      </c>
      <c r="E413" s="1" t="s">
        <v>36</v>
      </c>
      <c r="F413" s="1" t="s">
        <v>32</v>
      </c>
      <c r="G413">
        <v>375000</v>
      </c>
      <c r="H413" s="1">
        <v>2</v>
      </c>
      <c r="I413" s="1" t="s">
        <v>39</v>
      </c>
      <c r="J413" s="1" t="s">
        <v>29</v>
      </c>
      <c r="K413">
        <v>750000</v>
      </c>
    </row>
    <row r="414" spans="1:11" x14ac:dyDescent="0.2">
      <c r="A414" s="2" t="s">
        <v>451</v>
      </c>
      <c r="B414" s="3">
        <v>45811</v>
      </c>
      <c r="C414" s="10" t="s">
        <v>11</v>
      </c>
      <c r="D414" s="10" t="s">
        <v>12</v>
      </c>
      <c r="E414" s="1" t="s">
        <v>31</v>
      </c>
      <c r="F414" s="1" t="s">
        <v>27</v>
      </c>
      <c r="G414">
        <v>350000</v>
      </c>
      <c r="H414" s="1">
        <v>2</v>
      </c>
      <c r="I414" s="1" t="s">
        <v>28</v>
      </c>
      <c r="J414" s="1" t="s">
        <v>29</v>
      </c>
      <c r="K414">
        <v>700000</v>
      </c>
    </row>
    <row r="415" spans="1:11" x14ac:dyDescent="0.2">
      <c r="A415" s="2" t="s">
        <v>452</v>
      </c>
      <c r="B415" s="3">
        <v>45832</v>
      </c>
      <c r="C415" s="10" t="s">
        <v>21</v>
      </c>
      <c r="D415" s="10" t="s">
        <v>22</v>
      </c>
      <c r="E415" s="1" t="s">
        <v>31</v>
      </c>
      <c r="F415" s="1" t="s">
        <v>45</v>
      </c>
      <c r="G415">
        <v>75000</v>
      </c>
      <c r="H415" s="1">
        <v>1</v>
      </c>
      <c r="I415" s="1" t="s">
        <v>39</v>
      </c>
      <c r="J415" s="1" t="s">
        <v>37</v>
      </c>
      <c r="K415">
        <v>75000</v>
      </c>
    </row>
    <row r="416" spans="1:11" x14ac:dyDescent="0.2">
      <c r="A416" s="2" t="s">
        <v>453</v>
      </c>
      <c r="B416" s="3">
        <v>45835</v>
      </c>
      <c r="C416" s="10" t="s">
        <v>24</v>
      </c>
      <c r="D416" s="10" t="s">
        <v>16</v>
      </c>
      <c r="E416" s="1" t="s">
        <v>47</v>
      </c>
      <c r="F416" s="1" t="s">
        <v>45</v>
      </c>
      <c r="G416">
        <v>240000</v>
      </c>
      <c r="H416" s="1">
        <v>2</v>
      </c>
      <c r="I416" s="1" t="s">
        <v>39</v>
      </c>
      <c r="J416" s="1" t="s">
        <v>37</v>
      </c>
      <c r="K416">
        <v>480000</v>
      </c>
    </row>
    <row r="417" spans="1:11" x14ac:dyDescent="0.2">
      <c r="A417" s="2" t="s">
        <v>454</v>
      </c>
      <c r="B417" s="3">
        <v>45800</v>
      </c>
      <c r="C417" s="10" t="s">
        <v>23</v>
      </c>
      <c r="D417" s="10" t="s">
        <v>12</v>
      </c>
      <c r="E417" s="1" t="s">
        <v>36</v>
      </c>
      <c r="F417" s="1" t="s">
        <v>32</v>
      </c>
      <c r="G417">
        <v>375000</v>
      </c>
      <c r="H417" s="1">
        <v>2</v>
      </c>
      <c r="I417" s="1" t="s">
        <v>28</v>
      </c>
      <c r="J417" s="1" t="s">
        <v>29</v>
      </c>
      <c r="K417">
        <v>750000</v>
      </c>
    </row>
    <row r="418" spans="1:11" x14ac:dyDescent="0.2">
      <c r="A418" s="2" t="s">
        <v>455</v>
      </c>
      <c r="B418" s="3">
        <v>45794</v>
      </c>
      <c r="C418" s="10" t="s">
        <v>15</v>
      </c>
      <c r="D418" s="10" t="s">
        <v>16</v>
      </c>
      <c r="E418" s="1" t="s">
        <v>47</v>
      </c>
      <c r="F418" s="1" t="s">
        <v>41</v>
      </c>
      <c r="G418">
        <v>225000</v>
      </c>
      <c r="H418" s="1">
        <v>3</v>
      </c>
      <c r="I418" s="1" t="s">
        <v>28</v>
      </c>
      <c r="J418" s="1" t="s">
        <v>29</v>
      </c>
      <c r="K418">
        <v>675000</v>
      </c>
    </row>
    <row r="419" spans="1:11" x14ac:dyDescent="0.2">
      <c r="A419" s="2" t="s">
        <v>456</v>
      </c>
      <c r="B419" s="3">
        <v>45723</v>
      </c>
      <c r="C419" s="10" t="s">
        <v>21</v>
      </c>
      <c r="D419" s="10" t="s">
        <v>22</v>
      </c>
      <c r="E419" s="1" t="s">
        <v>47</v>
      </c>
      <c r="F419" s="1" t="s">
        <v>45</v>
      </c>
      <c r="G419">
        <v>75000</v>
      </c>
      <c r="H419" s="1">
        <v>2</v>
      </c>
      <c r="I419" s="1" t="s">
        <v>39</v>
      </c>
      <c r="J419" s="1" t="s">
        <v>29</v>
      </c>
      <c r="K419">
        <v>150000</v>
      </c>
    </row>
    <row r="420" spans="1:11" x14ac:dyDescent="0.2">
      <c r="A420" s="2" t="s">
        <v>457</v>
      </c>
      <c r="B420" s="3">
        <v>45706</v>
      </c>
      <c r="C420" s="10" t="s">
        <v>23</v>
      </c>
      <c r="D420" s="10" t="s">
        <v>12</v>
      </c>
      <c r="E420" s="1" t="s">
        <v>36</v>
      </c>
      <c r="F420" s="1" t="s">
        <v>41</v>
      </c>
      <c r="G420">
        <v>375000</v>
      </c>
      <c r="H420" s="1">
        <v>3</v>
      </c>
      <c r="I420" s="1" t="s">
        <v>28</v>
      </c>
      <c r="J420" s="1" t="s">
        <v>37</v>
      </c>
      <c r="K420">
        <v>1125000</v>
      </c>
    </row>
    <row r="421" spans="1:11" x14ac:dyDescent="0.2">
      <c r="A421" s="2" t="s">
        <v>458</v>
      </c>
      <c r="B421" s="3">
        <v>45761</v>
      </c>
      <c r="C421" s="10" t="s">
        <v>17</v>
      </c>
      <c r="D421" s="10" t="s">
        <v>18</v>
      </c>
      <c r="E421" s="1" t="s">
        <v>47</v>
      </c>
      <c r="F421" s="1" t="s">
        <v>45</v>
      </c>
      <c r="G421">
        <v>300000</v>
      </c>
      <c r="H421" s="1">
        <v>3</v>
      </c>
      <c r="I421" s="1" t="s">
        <v>39</v>
      </c>
      <c r="J421" s="1" t="s">
        <v>29</v>
      </c>
      <c r="K421">
        <v>900000</v>
      </c>
    </row>
    <row r="422" spans="1:11" x14ac:dyDescent="0.2">
      <c r="A422" s="2" t="s">
        <v>459</v>
      </c>
      <c r="B422" s="3">
        <v>45709</v>
      </c>
      <c r="C422" s="10" t="s">
        <v>23</v>
      </c>
      <c r="D422" s="10" t="s">
        <v>12</v>
      </c>
      <c r="E422" s="1" t="s">
        <v>31</v>
      </c>
      <c r="F422" s="1" t="s">
        <v>27</v>
      </c>
      <c r="G422">
        <v>375000</v>
      </c>
      <c r="H422" s="1">
        <v>2</v>
      </c>
      <c r="I422" s="1" t="s">
        <v>39</v>
      </c>
      <c r="J422" s="1" t="s">
        <v>37</v>
      </c>
      <c r="K422">
        <v>750000</v>
      </c>
    </row>
    <row r="423" spans="1:11" x14ac:dyDescent="0.2">
      <c r="A423" s="2" t="s">
        <v>460</v>
      </c>
      <c r="B423" s="3">
        <v>45714</v>
      </c>
      <c r="C423" s="10" t="s">
        <v>23</v>
      </c>
      <c r="D423" s="10" t="s">
        <v>12</v>
      </c>
      <c r="E423" s="1" t="s">
        <v>36</v>
      </c>
      <c r="F423" s="1" t="s">
        <v>34</v>
      </c>
      <c r="G423">
        <v>375000</v>
      </c>
      <c r="H423" s="1">
        <v>1</v>
      </c>
      <c r="I423" s="1" t="s">
        <v>39</v>
      </c>
      <c r="J423" s="1" t="s">
        <v>37</v>
      </c>
      <c r="K423">
        <v>375000</v>
      </c>
    </row>
    <row r="424" spans="1:11" x14ac:dyDescent="0.2">
      <c r="A424" s="2" t="s">
        <v>461</v>
      </c>
      <c r="B424" s="3">
        <v>45821</v>
      </c>
      <c r="C424" s="10" t="s">
        <v>23</v>
      </c>
      <c r="D424" s="10" t="s">
        <v>12</v>
      </c>
      <c r="E424" s="1" t="s">
        <v>47</v>
      </c>
      <c r="F424" s="1" t="s">
        <v>34</v>
      </c>
      <c r="G424">
        <v>375000</v>
      </c>
      <c r="H424" s="1">
        <v>2</v>
      </c>
      <c r="I424" s="1" t="s">
        <v>39</v>
      </c>
      <c r="J424" s="1" t="s">
        <v>29</v>
      </c>
      <c r="K424">
        <v>750000</v>
      </c>
    </row>
    <row r="425" spans="1:11" x14ac:dyDescent="0.2">
      <c r="A425" s="2" t="s">
        <v>462</v>
      </c>
      <c r="B425" s="3">
        <v>45700</v>
      </c>
      <c r="C425" s="10" t="s">
        <v>19</v>
      </c>
      <c r="D425" s="10" t="s">
        <v>20</v>
      </c>
      <c r="E425" s="1" t="s">
        <v>47</v>
      </c>
      <c r="F425" s="1" t="s">
        <v>41</v>
      </c>
      <c r="G425">
        <v>250000</v>
      </c>
      <c r="H425" s="1">
        <v>1</v>
      </c>
      <c r="I425" s="1" t="s">
        <v>28</v>
      </c>
      <c r="J425" s="1" t="s">
        <v>29</v>
      </c>
      <c r="K425">
        <v>250000</v>
      </c>
    </row>
    <row r="426" spans="1:11" x14ac:dyDescent="0.2">
      <c r="A426" s="2" t="s">
        <v>463</v>
      </c>
      <c r="B426" s="3">
        <v>45717</v>
      </c>
      <c r="C426" s="10" t="s">
        <v>13</v>
      </c>
      <c r="D426" s="10" t="s">
        <v>14</v>
      </c>
      <c r="E426" s="1" t="s">
        <v>36</v>
      </c>
      <c r="F426" s="1" t="s">
        <v>45</v>
      </c>
      <c r="G426">
        <v>275000</v>
      </c>
      <c r="H426" s="1">
        <v>1</v>
      </c>
      <c r="I426" s="1" t="s">
        <v>39</v>
      </c>
      <c r="J426" s="1" t="s">
        <v>29</v>
      </c>
      <c r="K426">
        <v>275000</v>
      </c>
    </row>
    <row r="427" spans="1:11" x14ac:dyDescent="0.2">
      <c r="A427" s="2" t="s">
        <v>464</v>
      </c>
      <c r="B427" s="3">
        <v>45794</v>
      </c>
      <c r="C427" s="10" t="s">
        <v>17</v>
      </c>
      <c r="D427" s="10" t="s">
        <v>18</v>
      </c>
      <c r="E427" s="1" t="s">
        <v>36</v>
      </c>
      <c r="F427" s="1" t="s">
        <v>34</v>
      </c>
      <c r="G427">
        <v>300000</v>
      </c>
      <c r="H427" s="1">
        <v>2</v>
      </c>
      <c r="I427" s="1" t="s">
        <v>28</v>
      </c>
      <c r="J427" s="1" t="s">
        <v>37</v>
      </c>
      <c r="K427">
        <v>600000</v>
      </c>
    </row>
    <row r="428" spans="1:11" x14ac:dyDescent="0.2">
      <c r="A428" s="2" t="s">
        <v>465</v>
      </c>
      <c r="B428" s="3">
        <v>45740</v>
      </c>
      <c r="C428" s="10" t="s">
        <v>21</v>
      </c>
      <c r="D428" s="10" t="s">
        <v>22</v>
      </c>
      <c r="E428" s="1" t="s">
        <v>26</v>
      </c>
      <c r="F428" s="1" t="s">
        <v>34</v>
      </c>
      <c r="G428">
        <v>75000</v>
      </c>
      <c r="H428" s="1">
        <v>2</v>
      </c>
      <c r="I428" s="1" t="s">
        <v>39</v>
      </c>
      <c r="J428" s="1" t="s">
        <v>37</v>
      </c>
      <c r="K428">
        <v>150000</v>
      </c>
    </row>
    <row r="429" spans="1:11" x14ac:dyDescent="0.2">
      <c r="A429" s="2" t="s">
        <v>466</v>
      </c>
      <c r="B429" s="3">
        <v>45800</v>
      </c>
      <c r="C429" s="10" t="s">
        <v>15</v>
      </c>
      <c r="D429" s="10" t="s">
        <v>16</v>
      </c>
      <c r="E429" s="1" t="s">
        <v>36</v>
      </c>
      <c r="F429" s="1" t="s">
        <v>60</v>
      </c>
      <c r="G429">
        <v>225000</v>
      </c>
      <c r="H429" s="1">
        <v>3</v>
      </c>
      <c r="I429" s="1" t="s">
        <v>39</v>
      </c>
      <c r="J429" s="1" t="s">
        <v>37</v>
      </c>
      <c r="K429">
        <v>675000</v>
      </c>
    </row>
    <row r="430" spans="1:11" x14ac:dyDescent="0.2">
      <c r="A430" s="2" t="s">
        <v>467</v>
      </c>
      <c r="B430" s="3">
        <v>45765</v>
      </c>
      <c r="C430" s="10" t="s">
        <v>11</v>
      </c>
      <c r="D430" s="10" t="s">
        <v>12</v>
      </c>
      <c r="E430" s="1" t="s">
        <v>26</v>
      </c>
      <c r="F430" s="1" t="s">
        <v>41</v>
      </c>
      <c r="G430">
        <v>350000</v>
      </c>
      <c r="H430" s="1">
        <v>3</v>
      </c>
      <c r="I430" s="1" t="s">
        <v>39</v>
      </c>
      <c r="J430" s="1" t="s">
        <v>29</v>
      </c>
      <c r="K430">
        <v>1050000</v>
      </c>
    </row>
    <row r="431" spans="1:11" x14ac:dyDescent="0.2">
      <c r="A431" s="2" t="s">
        <v>468</v>
      </c>
      <c r="B431" s="3">
        <v>45660</v>
      </c>
      <c r="C431" s="10" t="s">
        <v>24</v>
      </c>
      <c r="D431" s="10" t="s">
        <v>16</v>
      </c>
      <c r="E431" s="1" t="s">
        <v>47</v>
      </c>
      <c r="F431" s="1" t="s">
        <v>32</v>
      </c>
      <c r="G431">
        <v>240000</v>
      </c>
      <c r="H431" s="1">
        <v>1</v>
      </c>
      <c r="I431" s="1" t="s">
        <v>39</v>
      </c>
      <c r="J431" s="1" t="s">
        <v>29</v>
      </c>
      <c r="K431">
        <v>240000</v>
      </c>
    </row>
    <row r="432" spans="1:11" x14ac:dyDescent="0.2">
      <c r="A432" s="2" t="s">
        <v>469</v>
      </c>
      <c r="B432" s="3">
        <v>45748</v>
      </c>
      <c r="C432" s="10" t="s">
        <v>19</v>
      </c>
      <c r="D432" s="10" t="s">
        <v>20</v>
      </c>
      <c r="E432" s="1" t="s">
        <v>26</v>
      </c>
      <c r="F432" s="1" t="s">
        <v>45</v>
      </c>
      <c r="G432">
        <v>250000</v>
      </c>
      <c r="H432" s="1">
        <v>3</v>
      </c>
      <c r="I432" s="1" t="s">
        <v>28</v>
      </c>
      <c r="J432" s="1" t="s">
        <v>29</v>
      </c>
      <c r="K432">
        <v>750000</v>
      </c>
    </row>
    <row r="433" spans="1:11" x14ac:dyDescent="0.2">
      <c r="A433" s="2" t="s">
        <v>470</v>
      </c>
      <c r="B433" s="3">
        <v>45681</v>
      </c>
      <c r="C433" s="10" t="s">
        <v>24</v>
      </c>
      <c r="D433" s="10" t="s">
        <v>16</v>
      </c>
      <c r="E433" s="1" t="s">
        <v>47</v>
      </c>
      <c r="F433" s="1" t="s">
        <v>45</v>
      </c>
      <c r="G433">
        <v>240000</v>
      </c>
      <c r="H433" s="1">
        <v>3</v>
      </c>
      <c r="I433" s="1" t="s">
        <v>28</v>
      </c>
      <c r="J433" s="1" t="s">
        <v>29</v>
      </c>
      <c r="K433">
        <v>720000</v>
      </c>
    </row>
    <row r="434" spans="1:11" x14ac:dyDescent="0.2">
      <c r="A434" s="2" t="s">
        <v>471</v>
      </c>
      <c r="B434" s="3">
        <v>45819</v>
      </c>
      <c r="C434" s="10" t="s">
        <v>15</v>
      </c>
      <c r="D434" s="10" t="s">
        <v>16</v>
      </c>
      <c r="E434" s="1" t="s">
        <v>26</v>
      </c>
      <c r="F434" s="1" t="s">
        <v>27</v>
      </c>
      <c r="G434">
        <v>225000</v>
      </c>
      <c r="H434" s="1">
        <v>2</v>
      </c>
      <c r="I434" s="1" t="s">
        <v>28</v>
      </c>
      <c r="J434" s="1" t="s">
        <v>37</v>
      </c>
      <c r="K434">
        <v>450000</v>
      </c>
    </row>
    <row r="435" spans="1:11" x14ac:dyDescent="0.2">
      <c r="A435" s="2" t="s">
        <v>472</v>
      </c>
      <c r="B435" s="3">
        <v>45758</v>
      </c>
      <c r="C435" s="10" t="s">
        <v>13</v>
      </c>
      <c r="D435" s="10" t="s">
        <v>14</v>
      </c>
      <c r="E435" s="1" t="s">
        <v>47</v>
      </c>
      <c r="F435" s="1" t="s">
        <v>34</v>
      </c>
      <c r="G435">
        <v>275000</v>
      </c>
      <c r="H435" s="1">
        <v>1</v>
      </c>
      <c r="I435" s="1" t="s">
        <v>39</v>
      </c>
      <c r="J435" s="1" t="s">
        <v>29</v>
      </c>
      <c r="K435">
        <v>275000</v>
      </c>
    </row>
    <row r="436" spans="1:11" x14ac:dyDescent="0.2">
      <c r="A436" s="2" t="s">
        <v>473</v>
      </c>
      <c r="B436" s="3">
        <v>45768</v>
      </c>
      <c r="C436" s="10" t="s">
        <v>15</v>
      </c>
      <c r="D436" s="10" t="s">
        <v>16</v>
      </c>
      <c r="E436" s="1" t="s">
        <v>31</v>
      </c>
      <c r="F436" s="1" t="s">
        <v>45</v>
      </c>
      <c r="G436">
        <v>225000</v>
      </c>
      <c r="H436" s="1">
        <v>1</v>
      </c>
      <c r="I436" s="1" t="s">
        <v>39</v>
      </c>
      <c r="J436" s="1" t="s">
        <v>29</v>
      </c>
      <c r="K436">
        <v>225000</v>
      </c>
    </row>
    <row r="437" spans="1:11" x14ac:dyDescent="0.2">
      <c r="A437" s="2" t="s">
        <v>474</v>
      </c>
      <c r="B437" s="3">
        <v>45818</v>
      </c>
      <c r="C437" s="10" t="s">
        <v>21</v>
      </c>
      <c r="D437" s="10" t="s">
        <v>22</v>
      </c>
      <c r="E437" s="1" t="s">
        <v>31</v>
      </c>
      <c r="F437" s="1" t="s">
        <v>27</v>
      </c>
      <c r="G437">
        <v>75000</v>
      </c>
      <c r="H437" s="1">
        <v>3</v>
      </c>
      <c r="I437" s="1" t="s">
        <v>39</v>
      </c>
      <c r="J437" s="1" t="s">
        <v>29</v>
      </c>
      <c r="K437">
        <v>225000</v>
      </c>
    </row>
    <row r="438" spans="1:11" x14ac:dyDescent="0.2">
      <c r="A438" s="2" t="s">
        <v>475</v>
      </c>
      <c r="B438" s="3">
        <v>45692</v>
      </c>
      <c r="C438" s="10" t="s">
        <v>15</v>
      </c>
      <c r="D438" s="10" t="s">
        <v>16</v>
      </c>
      <c r="E438" s="1" t="s">
        <v>36</v>
      </c>
      <c r="F438" s="1" t="s">
        <v>60</v>
      </c>
      <c r="G438">
        <v>225000</v>
      </c>
      <c r="H438" s="1">
        <v>2</v>
      </c>
      <c r="I438" s="1" t="s">
        <v>28</v>
      </c>
      <c r="J438" s="1" t="s">
        <v>29</v>
      </c>
      <c r="K438">
        <v>450000</v>
      </c>
    </row>
    <row r="439" spans="1:11" x14ac:dyDescent="0.2">
      <c r="A439" s="2" t="s">
        <v>476</v>
      </c>
      <c r="B439" s="3">
        <v>45824</v>
      </c>
      <c r="C439" s="10" t="s">
        <v>23</v>
      </c>
      <c r="D439" s="10" t="s">
        <v>12</v>
      </c>
      <c r="E439" s="1" t="s">
        <v>31</v>
      </c>
      <c r="F439" s="1" t="s">
        <v>60</v>
      </c>
      <c r="G439">
        <v>375000</v>
      </c>
      <c r="H439" s="1">
        <v>3</v>
      </c>
      <c r="I439" s="1" t="s">
        <v>28</v>
      </c>
      <c r="J439" s="1" t="s">
        <v>29</v>
      </c>
      <c r="K439">
        <v>1125000</v>
      </c>
    </row>
    <row r="440" spans="1:11" x14ac:dyDescent="0.2">
      <c r="A440" s="2" t="s">
        <v>477</v>
      </c>
      <c r="B440" s="3">
        <v>45792</v>
      </c>
      <c r="C440" s="10" t="s">
        <v>17</v>
      </c>
      <c r="D440" s="10" t="s">
        <v>18</v>
      </c>
      <c r="E440" s="1" t="s">
        <v>26</v>
      </c>
      <c r="F440" s="1" t="s">
        <v>60</v>
      </c>
      <c r="G440">
        <v>300000</v>
      </c>
      <c r="H440" s="1">
        <v>2</v>
      </c>
      <c r="I440" s="1" t="s">
        <v>28</v>
      </c>
      <c r="J440" s="1" t="s">
        <v>29</v>
      </c>
      <c r="K440">
        <v>600000</v>
      </c>
    </row>
    <row r="441" spans="1:11" x14ac:dyDescent="0.2">
      <c r="A441" s="2" t="s">
        <v>478</v>
      </c>
      <c r="B441" s="3">
        <v>45794</v>
      </c>
      <c r="C441" s="10" t="s">
        <v>11</v>
      </c>
      <c r="D441" s="10" t="s">
        <v>12</v>
      </c>
      <c r="E441" s="1" t="s">
        <v>26</v>
      </c>
      <c r="F441" s="1" t="s">
        <v>45</v>
      </c>
      <c r="G441">
        <v>350000</v>
      </c>
      <c r="H441" s="1">
        <v>3</v>
      </c>
      <c r="I441" s="1" t="s">
        <v>28</v>
      </c>
      <c r="J441" s="1" t="s">
        <v>37</v>
      </c>
      <c r="K441">
        <v>1050000</v>
      </c>
    </row>
    <row r="442" spans="1:11" x14ac:dyDescent="0.2">
      <c r="A442" s="2" t="s">
        <v>479</v>
      </c>
      <c r="B442" s="3">
        <v>45674</v>
      </c>
      <c r="C442" s="10" t="s">
        <v>23</v>
      </c>
      <c r="D442" s="10" t="s">
        <v>12</v>
      </c>
      <c r="E442" s="1" t="s">
        <v>47</v>
      </c>
      <c r="F442" s="1" t="s">
        <v>41</v>
      </c>
      <c r="G442">
        <v>375000</v>
      </c>
      <c r="H442" s="1">
        <v>2</v>
      </c>
      <c r="I442" s="1" t="s">
        <v>28</v>
      </c>
      <c r="J442" s="1" t="s">
        <v>29</v>
      </c>
      <c r="K442">
        <v>750000</v>
      </c>
    </row>
    <row r="443" spans="1:11" x14ac:dyDescent="0.2">
      <c r="A443" s="2" t="s">
        <v>480</v>
      </c>
      <c r="B443" s="3">
        <v>45676</v>
      </c>
      <c r="C443" s="10" t="s">
        <v>21</v>
      </c>
      <c r="D443" s="10" t="s">
        <v>22</v>
      </c>
      <c r="E443" s="1" t="s">
        <v>47</v>
      </c>
      <c r="F443" s="1" t="s">
        <v>45</v>
      </c>
      <c r="G443">
        <v>75000</v>
      </c>
      <c r="H443" s="1">
        <v>1</v>
      </c>
      <c r="I443" s="1" t="s">
        <v>39</v>
      </c>
      <c r="J443" s="1" t="s">
        <v>29</v>
      </c>
      <c r="K443">
        <v>75000</v>
      </c>
    </row>
    <row r="444" spans="1:11" x14ac:dyDescent="0.2">
      <c r="A444" s="2" t="s">
        <v>481</v>
      </c>
      <c r="B444" s="3">
        <v>45757</v>
      </c>
      <c r="C444" s="10" t="s">
        <v>17</v>
      </c>
      <c r="D444" s="10" t="s">
        <v>18</v>
      </c>
      <c r="E444" s="1" t="s">
        <v>47</v>
      </c>
      <c r="F444" s="1" t="s">
        <v>41</v>
      </c>
      <c r="G444">
        <v>300000</v>
      </c>
      <c r="H444" s="1">
        <v>3</v>
      </c>
      <c r="I444" s="1" t="s">
        <v>39</v>
      </c>
      <c r="J444" s="1" t="s">
        <v>29</v>
      </c>
      <c r="K444">
        <v>900000</v>
      </c>
    </row>
    <row r="445" spans="1:11" x14ac:dyDescent="0.2">
      <c r="A445" s="2" t="s">
        <v>482</v>
      </c>
      <c r="B445" s="3">
        <v>45773</v>
      </c>
      <c r="C445" s="10" t="s">
        <v>15</v>
      </c>
      <c r="D445" s="10" t="s">
        <v>16</v>
      </c>
      <c r="E445" s="1" t="s">
        <v>47</v>
      </c>
      <c r="F445" s="1" t="s">
        <v>41</v>
      </c>
      <c r="G445">
        <v>225000</v>
      </c>
      <c r="H445" s="1">
        <v>3</v>
      </c>
      <c r="I445" s="1" t="s">
        <v>39</v>
      </c>
      <c r="J445" s="1" t="s">
        <v>37</v>
      </c>
      <c r="K445">
        <v>675000</v>
      </c>
    </row>
    <row r="446" spans="1:11" x14ac:dyDescent="0.2">
      <c r="A446" s="2" t="s">
        <v>483</v>
      </c>
      <c r="B446" s="3">
        <v>45784</v>
      </c>
      <c r="C446" s="10" t="s">
        <v>17</v>
      </c>
      <c r="D446" s="10" t="s">
        <v>18</v>
      </c>
      <c r="E446" s="1" t="s">
        <v>47</v>
      </c>
      <c r="F446" s="1" t="s">
        <v>34</v>
      </c>
      <c r="G446">
        <v>300000</v>
      </c>
      <c r="H446" s="1">
        <v>2</v>
      </c>
      <c r="I446" s="1" t="s">
        <v>39</v>
      </c>
      <c r="J446" s="1" t="s">
        <v>37</v>
      </c>
      <c r="K446">
        <v>600000</v>
      </c>
    </row>
    <row r="447" spans="1:11" x14ac:dyDescent="0.2">
      <c r="A447" s="2" t="s">
        <v>484</v>
      </c>
      <c r="B447" s="3">
        <v>45723</v>
      </c>
      <c r="C447" s="10" t="s">
        <v>11</v>
      </c>
      <c r="D447" s="10" t="s">
        <v>12</v>
      </c>
      <c r="E447" s="1" t="s">
        <v>47</v>
      </c>
      <c r="F447" s="1" t="s">
        <v>41</v>
      </c>
      <c r="G447">
        <v>350000</v>
      </c>
      <c r="H447" s="1">
        <v>1</v>
      </c>
      <c r="I447" s="1" t="s">
        <v>39</v>
      </c>
      <c r="J447" s="1" t="s">
        <v>29</v>
      </c>
      <c r="K447">
        <v>350000</v>
      </c>
    </row>
    <row r="448" spans="1:11" x14ac:dyDescent="0.2">
      <c r="A448" s="2" t="s">
        <v>485</v>
      </c>
      <c r="B448" s="3">
        <v>45763</v>
      </c>
      <c r="C448" s="10" t="s">
        <v>13</v>
      </c>
      <c r="D448" s="10" t="s">
        <v>14</v>
      </c>
      <c r="E448" s="1" t="s">
        <v>47</v>
      </c>
      <c r="F448" s="1" t="s">
        <v>34</v>
      </c>
      <c r="G448">
        <v>275000</v>
      </c>
      <c r="H448" s="1">
        <v>3</v>
      </c>
      <c r="I448" s="1" t="s">
        <v>28</v>
      </c>
      <c r="J448" s="1" t="s">
        <v>37</v>
      </c>
      <c r="K448">
        <v>825000</v>
      </c>
    </row>
    <row r="449" spans="1:11" x14ac:dyDescent="0.2">
      <c r="A449" s="2" t="s">
        <v>486</v>
      </c>
      <c r="B449" s="3">
        <v>45813</v>
      </c>
      <c r="C449" s="10" t="s">
        <v>13</v>
      </c>
      <c r="D449" s="10" t="s">
        <v>14</v>
      </c>
      <c r="E449" s="1" t="s">
        <v>36</v>
      </c>
      <c r="F449" s="1" t="s">
        <v>45</v>
      </c>
      <c r="G449">
        <v>275000</v>
      </c>
      <c r="H449" s="1">
        <v>1</v>
      </c>
      <c r="I449" s="1" t="s">
        <v>39</v>
      </c>
      <c r="J449" s="1" t="s">
        <v>37</v>
      </c>
      <c r="K449">
        <v>275000</v>
      </c>
    </row>
    <row r="450" spans="1:11" x14ac:dyDescent="0.2">
      <c r="A450" s="2" t="s">
        <v>487</v>
      </c>
      <c r="B450" s="3">
        <v>45767</v>
      </c>
      <c r="C450" s="10" t="s">
        <v>19</v>
      </c>
      <c r="D450" s="10" t="s">
        <v>20</v>
      </c>
      <c r="E450" s="1" t="s">
        <v>36</v>
      </c>
      <c r="F450" s="1" t="s">
        <v>27</v>
      </c>
      <c r="G450">
        <v>250000</v>
      </c>
      <c r="H450" s="1">
        <v>1</v>
      </c>
      <c r="I450" s="1" t="s">
        <v>28</v>
      </c>
      <c r="J450" s="1" t="s">
        <v>37</v>
      </c>
      <c r="K450">
        <v>250000</v>
      </c>
    </row>
    <row r="451" spans="1:11" x14ac:dyDescent="0.2">
      <c r="A451" s="2" t="s">
        <v>488</v>
      </c>
      <c r="B451" s="3">
        <v>45672</v>
      </c>
      <c r="C451" s="10" t="s">
        <v>19</v>
      </c>
      <c r="D451" s="10" t="s">
        <v>20</v>
      </c>
      <c r="E451" s="1" t="s">
        <v>36</v>
      </c>
      <c r="F451" s="1" t="s">
        <v>60</v>
      </c>
      <c r="G451">
        <v>250000</v>
      </c>
      <c r="H451" s="1">
        <v>2</v>
      </c>
      <c r="I451" s="1" t="s">
        <v>39</v>
      </c>
      <c r="J451" s="1" t="s">
        <v>29</v>
      </c>
      <c r="K451">
        <v>500000</v>
      </c>
    </row>
    <row r="452" spans="1:11" x14ac:dyDescent="0.2">
      <c r="A452" s="2" t="s">
        <v>489</v>
      </c>
      <c r="B452" s="3">
        <v>45707</v>
      </c>
      <c r="C452" s="10" t="s">
        <v>24</v>
      </c>
      <c r="D452" s="10" t="s">
        <v>16</v>
      </c>
      <c r="E452" s="1" t="s">
        <v>47</v>
      </c>
      <c r="F452" s="1" t="s">
        <v>41</v>
      </c>
      <c r="G452">
        <v>240000</v>
      </c>
      <c r="H452" s="1">
        <v>3</v>
      </c>
      <c r="I452" s="1" t="s">
        <v>39</v>
      </c>
      <c r="J452" s="1" t="s">
        <v>37</v>
      </c>
      <c r="K452">
        <v>720000</v>
      </c>
    </row>
    <row r="453" spans="1:11" x14ac:dyDescent="0.2">
      <c r="A453" s="2" t="s">
        <v>490</v>
      </c>
      <c r="B453" s="3">
        <v>45695</v>
      </c>
      <c r="C453" s="10" t="s">
        <v>21</v>
      </c>
      <c r="D453" s="10" t="s">
        <v>22</v>
      </c>
      <c r="E453" s="1" t="s">
        <v>31</v>
      </c>
      <c r="F453" s="1" t="s">
        <v>41</v>
      </c>
      <c r="G453">
        <v>75000</v>
      </c>
      <c r="H453" s="1">
        <v>2</v>
      </c>
      <c r="I453" s="1" t="s">
        <v>28</v>
      </c>
      <c r="J453" s="1" t="s">
        <v>29</v>
      </c>
      <c r="K453">
        <v>150000</v>
      </c>
    </row>
    <row r="454" spans="1:11" x14ac:dyDescent="0.2">
      <c r="A454" s="2" t="s">
        <v>491</v>
      </c>
      <c r="B454" s="3">
        <v>45699</v>
      </c>
      <c r="C454" s="10" t="s">
        <v>15</v>
      </c>
      <c r="D454" s="10" t="s">
        <v>16</v>
      </c>
      <c r="E454" s="1" t="s">
        <v>26</v>
      </c>
      <c r="F454" s="1" t="s">
        <v>34</v>
      </c>
      <c r="G454">
        <v>225000</v>
      </c>
      <c r="H454" s="1">
        <v>1</v>
      </c>
      <c r="I454" s="1" t="s">
        <v>39</v>
      </c>
      <c r="J454" s="1" t="s">
        <v>37</v>
      </c>
      <c r="K454">
        <v>225000</v>
      </c>
    </row>
    <row r="455" spans="1:11" x14ac:dyDescent="0.2">
      <c r="A455" s="2" t="s">
        <v>492</v>
      </c>
      <c r="B455" s="3">
        <v>45819</v>
      </c>
      <c r="C455" s="10" t="s">
        <v>24</v>
      </c>
      <c r="D455" s="10" t="s">
        <v>16</v>
      </c>
      <c r="E455" s="1" t="s">
        <v>31</v>
      </c>
      <c r="F455" s="1" t="s">
        <v>27</v>
      </c>
      <c r="G455">
        <v>240000</v>
      </c>
      <c r="H455" s="1">
        <v>1</v>
      </c>
      <c r="I455" s="1" t="s">
        <v>28</v>
      </c>
      <c r="J455" s="1" t="s">
        <v>37</v>
      </c>
      <c r="K455">
        <v>240000</v>
      </c>
    </row>
    <row r="456" spans="1:11" x14ac:dyDescent="0.2">
      <c r="A456" s="2" t="s">
        <v>493</v>
      </c>
      <c r="B456" s="3">
        <v>45745</v>
      </c>
      <c r="C456" s="10" t="s">
        <v>21</v>
      </c>
      <c r="D456" s="10" t="s">
        <v>22</v>
      </c>
      <c r="E456" s="1" t="s">
        <v>47</v>
      </c>
      <c r="F456" s="1" t="s">
        <v>41</v>
      </c>
      <c r="G456">
        <v>75000</v>
      </c>
      <c r="H456" s="1">
        <v>1</v>
      </c>
      <c r="I456" s="1" t="s">
        <v>39</v>
      </c>
      <c r="J456" s="1" t="s">
        <v>37</v>
      </c>
      <c r="K456">
        <v>75000</v>
      </c>
    </row>
    <row r="457" spans="1:11" x14ac:dyDescent="0.2">
      <c r="A457" s="2" t="s">
        <v>494</v>
      </c>
      <c r="B457" s="3">
        <v>45830</v>
      </c>
      <c r="C457" s="10" t="s">
        <v>11</v>
      </c>
      <c r="D457" s="10" t="s">
        <v>12</v>
      </c>
      <c r="E457" s="1" t="s">
        <v>36</v>
      </c>
      <c r="F457" s="1" t="s">
        <v>27</v>
      </c>
      <c r="G457">
        <v>350000</v>
      </c>
      <c r="H457" s="1">
        <v>1</v>
      </c>
      <c r="I457" s="1" t="s">
        <v>39</v>
      </c>
      <c r="J457" s="1" t="s">
        <v>29</v>
      </c>
      <c r="K457">
        <v>350000</v>
      </c>
    </row>
    <row r="458" spans="1:11" x14ac:dyDescent="0.2">
      <c r="A458" s="2" t="s">
        <v>495</v>
      </c>
      <c r="B458" s="3">
        <v>45716</v>
      </c>
      <c r="C458" s="10" t="s">
        <v>15</v>
      </c>
      <c r="D458" s="10" t="s">
        <v>16</v>
      </c>
      <c r="E458" s="1" t="s">
        <v>47</v>
      </c>
      <c r="F458" s="1" t="s">
        <v>27</v>
      </c>
      <c r="G458">
        <v>225000</v>
      </c>
      <c r="H458" s="1">
        <v>1</v>
      </c>
      <c r="I458" s="1" t="s">
        <v>39</v>
      </c>
      <c r="J458" s="1" t="s">
        <v>29</v>
      </c>
      <c r="K458">
        <v>225000</v>
      </c>
    </row>
    <row r="459" spans="1:11" x14ac:dyDescent="0.2">
      <c r="A459" s="2" t="s">
        <v>496</v>
      </c>
      <c r="B459" s="3">
        <v>45673</v>
      </c>
      <c r="C459" s="10" t="s">
        <v>11</v>
      </c>
      <c r="D459" s="10" t="s">
        <v>12</v>
      </c>
      <c r="E459" s="1" t="s">
        <v>31</v>
      </c>
      <c r="F459" s="1" t="s">
        <v>32</v>
      </c>
      <c r="G459">
        <v>350000</v>
      </c>
      <c r="H459" s="1">
        <v>2</v>
      </c>
      <c r="I459" s="1" t="s">
        <v>28</v>
      </c>
      <c r="J459" s="1" t="s">
        <v>37</v>
      </c>
      <c r="K459">
        <v>700000</v>
      </c>
    </row>
    <row r="460" spans="1:11" x14ac:dyDescent="0.2">
      <c r="A460" s="2" t="s">
        <v>497</v>
      </c>
      <c r="B460" s="3">
        <v>45790</v>
      </c>
      <c r="C460" s="10" t="s">
        <v>19</v>
      </c>
      <c r="D460" s="10" t="s">
        <v>20</v>
      </c>
      <c r="E460" s="1" t="s">
        <v>26</v>
      </c>
      <c r="F460" s="1" t="s">
        <v>32</v>
      </c>
      <c r="G460">
        <v>250000</v>
      </c>
      <c r="H460" s="1">
        <v>3</v>
      </c>
      <c r="I460" s="1" t="s">
        <v>28</v>
      </c>
      <c r="J460" s="1" t="s">
        <v>37</v>
      </c>
      <c r="K460">
        <v>750000</v>
      </c>
    </row>
    <row r="461" spans="1:11" x14ac:dyDescent="0.2">
      <c r="A461" s="2" t="s">
        <v>498</v>
      </c>
      <c r="B461" s="3">
        <v>45759</v>
      </c>
      <c r="C461" s="10" t="s">
        <v>19</v>
      </c>
      <c r="D461" s="10" t="s">
        <v>20</v>
      </c>
      <c r="E461" s="1" t="s">
        <v>47</v>
      </c>
      <c r="F461" s="1" t="s">
        <v>41</v>
      </c>
      <c r="G461">
        <v>250000</v>
      </c>
      <c r="H461" s="1">
        <v>2</v>
      </c>
      <c r="I461" s="1" t="s">
        <v>28</v>
      </c>
      <c r="J461" s="1" t="s">
        <v>37</v>
      </c>
      <c r="K461">
        <v>500000</v>
      </c>
    </row>
    <row r="462" spans="1:11" x14ac:dyDescent="0.2">
      <c r="A462" s="2" t="s">
        <v>499</v>
      </c>
      <c r="B462" s="3">
        <v>45818</v>
      </c>
      <c r="C462" s="10" t="s">
        <v>15</v>
      </c>
      <c r="D462" s="10" t="s">
        <v>16</v>
      </c>
      <c r="E462" s="1" t="s">
        <v>26</v>
      </c>
      <c r="F462" s="1" t="s">
        <v>45</v>
      </c>
      <c r="G462">
        <v>225000</v>
      </c>
      <c r="H462" s="1">
        <v>3</v>
      </c>
      <c r="I462" s="1" t="s">
        <v>39</v>
      </c>
      <c r="J462" s="1" t="s">
        <v>29</v>
      </c>
      <c r="K462">
        <v>675000</v>
      </c>
    </row>
    <row r="463" spans="1:11" x14ac:dyDescent="0.2">
      <c r="A463" s="2" t="s">
        <v>500</v>
      </c>
      <c r="B463" s="3">
        <v>45763</v>
      </c>
      <c r="C463" s="10" t="s">
        <v>13</v>
      </c>
      <c r="D463" s="10" t="s">
        <v>14</v>
      </c>
      <c r="E463" s="1" t="s">
        <v>36</v>
      </c>
      <c r="F463" s="1" t="s">
        <v>41</v>
      </c>
      <c r="G463">
        <v>275000</v>
      </c>
      <c r="H463" s="1">
        <v>1</v>
      </c>
      <c r="I463" s="1" t="s">
        <v>39</v>
      </c>
      <c r="J463" s="1" t="s">
        <v>37</v>
      </c>
      <c r="K463">
        <v>275000</v>
      </c>
    </row>
    <row r="464" spans="1:11" x14ac:dyDescent="0.2">
      <c r="A464" s="2" t="s">
        <v>501</v>
      </c>
      <c r="B464" s="3">
        <v>45758</v>
      </c>
      <c r="C464" s="10" t="s">
        <v>19</v>
      </c>
      <c r="D464" s="10" t="s">
        <v>20</v>
      </c>
      <c r="E464" s="1" t="s">
        <v>31</v>
      </c>
      <c r="F464" s="1" t="s">
        <v>27</v>
      </c>
      <c r="G464">
        <v>250000</v>
      </c>
      <c r="H464" s="1">
        <v>2</v>
      </c>
      <c r="I464" s="1" t="s">
        <v>39</v>
      </c>
      <c r="J464" s="1" t="s">
        <v>37</v>
      </c>
      <c r="K464">
        <v>500000</v>
      </c>
    </row>
    <row r="465" spans="1:11" x14ac:dyDescent="0.2">
      <c r="A465" s="2" t="s">
        <v>502</v>
      </c>
      <c r="B465" s="3">
        <v>45673</v>
      </c>
      <c r="C465" s="10" t="s">
        <v>17</v>
      </c>
      <c r="D465" s="10" t="s">
        <v>18</v>
      </c>
      <c r="E465" s="1" t="s">
        <v>36</v>
      </c>
      <c r="F465" s="1" t="s">
        <v>41</v>
      </c>
      <c r="G465">
        <v>300000</v>
      </c>
      <c r="H465" s="1">
        <v>1</v>
      </c>
      <c r="I465" s="1" t="s">
        <v>39</v>
      </c>
      <c r="J465" s="1" t="s">
        <v>29</v>
      </c>
      <c r="K465">
        <v>300000</v>
      </c>
    </row>
    <row r="466" spans="1:11" x14ac:dyDescent="0.2">
      <c r="A466" s="2" t="s">
        <v>503</v>
      </c>
      <c r="B466" s="3">
        <v>45730</v>
      </c>
      <c r="C466" s="10" t="s">
        <v>13</v>
      </c>
      <c r="D466" s="10" t="s">
        <v>14</v>
      </c>
      <c r="E466" s="1" t="s">
        <v>47</v>
      </c>
      <c r="F466" s="1" t="s">
        <v>45</v>
      </c>
      <c r="G466">
        <v>275000</v>
      </c>
      <c r="H466" s="1">
        <v>3</v>
      </c>
      <c r="I466" s="1" t="s">
        <v>39</v>
      </c>
      <c r="J466" s="1" t="s">
        <v>29</v>
      </c>
      <c r="K466">
        <v>825000</v>
      </c>
    </row>
    <row r="467" spans="1:11" x14ac:dyDescent="0.2">
      <c r="A467" s="2" t="s">
        <v>504</v>
      </c>
      <c r="B467" s="3">
        <v>45806</v>
      </c>
      <c r="C467" s="10" t="s">
        <v>24</v>
      </c>
      <c r="D467" s="10" t="s">
        <v>16</v>
      </c>
      <c r="E467" s="1" t="s">
        <v>47</v>
      </c>
      <c r="F467" s="1" t="s">
        <v>60</v>
      </c>
      <c r="G467">
        <v>240000</v>
      </c>
      <c r="H467" s="1">
        <v>3</v>
      </c>
      <c r="I467" s="1" t="s">
        <v>28</v>
      </c>
      <c r="J467" s="1" t="s">
        <v>37</v>
      </c>
      <c r="K467">
        <v>720000</v>
      </c>
    </row>
    <row r="468" spans="1:11" x14ac:dyDescent="0.2">
      <c r="A468" s="2" t="s">
        <v>505</v>
      </c>
      <c r="B468" s="3">
        <v>45766</v>
      </c>
      <c r="C468" s="10" t="s">
        <v>21</v>
      </c>
      <c r="D468" s="10" t="s">
        <v>22</v>
      </c>
      <c r="E468" s="1" t="s">
        <v>47</v>
      </c>
      <c r="F468" s="1" t="s">
        <v>32</v>
      </c>
      <c r="G468">
        <v>75000</v>
      </c>
      <c r="H468" s="1">
        <v>3</v>
      </c>
      <c r="I468" s="1" t="s">
        <v>28</v>
      </c>
      <c r="J468" s="1" t="s">
        <v>29</v>
      </c>
      <c r="K468">
        <v>225000</v>
      </c>
    </row>
    <row r="469" spans="1:11" x14ac:dyDescent="0.2">
      <c r="A469" s="2" t="s">
        <v>506</v>
      </c>
      <c r="B469" s="3">
        <v>45671</v>
      </c>
      <c r="C469" s="10" t="s">
        <v>11</v>
      </c>
      <c r="D469" s="10" t="s">
        <v>12</v>
      </c>
      <c r="E469" s="1" t="s">
        <v>31</v>
      </c>
      <c r="F469" s="1" t="s">
        <v>32</v>
      </c>
      <c r="G469">
        <v>350000</v>
      </c>
      <c r="H469" s="1">
        <v>3</v>
      </c>
      <c r="I469" s="1" t="s">
        <v>28</v>
      </c>
      <c r="J469" s="1" t="s">
        <v>37</v>
      </c>
      <c r="K469">
        <v>1050000</v>
      </c>
    </row>
    <row r="470" spans="1:11" x14ac:dyDescent="0.2">
      <c r="A470" s="2" t="s">
        <v>507</v>
      </c>
      <c r="B470" s="3">
        <v>45810</v>
      </c>
      <c r="C470" s="10" t="s">
        <v>23</v>
      </c>
      <c r="D470" s="10" t="s">
        <v>12</v>
      </c>
      <c r="E470" s="1" t="s">
        <v>31</v>
      </c>
      <c r="F470" s="1" t="s">
        <v>32</v>
      </c>
      <c r="G470">
        <v>375000</v>
      </c>
      <c r="H470" s="1">
        <v>1</v>
      </c>
      <c r="I470" s="1" t="s">
        <v>39</v>
      </c>
      <c r="J470" s="1" t="s">
        <v>29</v>
      </c>
      <c r="K470">
        <v>375000</v>
      </c>
    </row>
    <row r="471" spans="1:11" x14ac:dyDescent="0.2">
      <c r="A471" s="2" t="s">
        <v>508</v>
      </c>
      <c r="B471" s="3">
        <v>45751</v>
      </c>
      <c r="C471" s="10" t="s">
        <v>11</v>
      </c>
      <c r="D471" s="10" t="s">
        <v>12</v>
      </c>
      <c r="E471" s="1" t="s">
        <v>31</v>
      </c>
      <c r="F471" s="1" t="s">
        <v>34</v>
      </c>
      <c r="G471">
        <v>350000</v>
      </c>
      <c r="H471" s="1">
        <v>1</v>
      </c>
      <c r="I471" s="1" t="s">
        <v>28</v>
      </c>
      <c r="J471" s="1" t="s">
        <v>29</v>
      </c>
      <c r="K471">
        <v>350000</v>
      </c>
    </row>
    <row r="472" spans="1:11" x14ac:dyDescent="0.2">
      <c r="A472" s="2" t="s">
        <v>509</v>
      </c>
      <c r="B472" s="3">
        <v>45659</v>
      </c>
      <c r="C472" s="10" t="s">
        <v>21</v>
      </c>
      <c r="D472" s="10" t="s">
        <v>22</v>
      </c>
      <c r="E472" s="1" t="s">
        <v>26</v>
      </c>
      <c r="F472" s="1" t="s">
        <v>41</v>
      </c>
      <c r="G472">
        <v>75000</v>
      </c>
      <c r="H472" s="1">
        <v>1</v>
      </c>
      <c r="I472" s="1" t="s">
        <v>39</v>
      </c>
      <c r="J472" s="1" t="s">
        <v>29</v>
      </c>
      <c r="K472">
        <v>75000</v>
      </c>
    </row>
    <row r="473" spans="1:11" x14ac:dyDescent="0.2">
      <c r="A473" s="2" t="s">
        <v>510</v>
      </c>
      <c r="B473" s="3">
        <v>45793</v>
      </c>
      <c r="C473" s="10" t="s">
        <v>13</v>
      </c>
      <c r="D473" s="10" t="s">
        <v>14</v>
      </c>
      <c r="E473" s="1" t="s">
        <v>26</v>
      </c>
      <c r="F473" s="1" t="s">
        <v>34</v>
      </c>
      <c r="G473">
        <v>275000</v>
      </c>
      <c r="H473" s="1">
        <v>3</v>
      </c>
      <c r="I473" s="1" t="s">
        <v>28</v>
      </c>
      <c r="J473" s="1" t="s">
        <v>37</v>
      </c>
      <c r="K473">
        <v>825000</v>
      </c>
    </row>
    <row r="474" spans="1:11" x14ac:dyDescent="0.2">
      <c r="A474" s="2" t="s">
        <v>511</v>
      </c>
      <c r="B474" s="3">
        <v>45795</v>
      </c>
      <c r="C474" s="10" t="s">
        <v>13</v>
      </c>
      <c r="D474" s="10" t="s">
        <v>14</v>
      </c>
      <c r="E474" s="1" t="s">
        <v>26</v>
      </c>
      <c r="F474" s="1" t="s">
        <v>60</v>
      </c>
      <c r="G474">
        <v>275000</v>
      </c>
      <c r="H474" s="1">
        <v>2</v>
      </c>
      <c r="I474" s="1" t="s">
        <v>39</v>
      </c>
      <c r="J474" s="1" t="s">
        <v>37</v>
      </c>
      <c r="K474">
        <v>550000</v>
      </c>
    </row>
    <row r="475" spans="1:11" x14ac:dyDescent="0.2">
      <c r="A475" s="2" t="s">
        <v>512</v>
      </c>
      <c r="B475" s="3">
        <v>45665</v>
      </c>
      <c r="C475" s="10" t="s">
        <v>13</v>
      </c>
      <c r="D475" s="10" t="s">
        <v>14</v>
      </c>
      <c r="E475" s="1" t="s">
        <v>26</v>
      </c>
      <c r="F475" s="1" t="s">
        <v>32</v>
      </c>
      <c r="G475">
        <v>275000</v>
      </c>
      <c r="H475" s="1">
        <v>3</v>
      </c>
      <c r="I475" s="1" t="s">
        <v>39</v>
      </c>
      <c r="J475" s="1" t="s">
        <v>37</v>
      </c>
      <c r="K475">
        <v>825000</v>
      </c>
    </row>
    <row r="476" spans="1:11" x14ac:dyDescent="0.2">
      <c r="A476" s="2" t="s">
        <v>513</v>
      </c>
      <c r="B476" s="3">
        <v>45684</v>
      </c>
      <c r="C476" s="10" t="s">
        <v>15</v>
      </c>
      <c r="D476" s="10" t="s">
        <v>16</v>
      </c>
      <c r="E476" s="1" t="s">
        <v>36</v>
      </c>
      <c r="F476" s="1" t="s">
        <v>32</v>
      </c>
      <c r="G476">
        <v>225000</v>
      </c>
      <c r="H476" s="1">
        <v>1</v>
      </c>
      <c r="I476" s="1" t="s">
        <v>28</v>
      </c>
      <c r="J476" s="1" t="s">
        <v>37</v>
      </c>
      <c r="K476">
        <v>225000</v>
      </c>
    </row>
    <row r="477" spans="1:11" x14ac:dyDescent="0.2">
      <c r="A477" s="2" t="s">
        <v>514</v>
      </c>
      <c r="B477" s="3">
        <v>45804</v>
      </c>
      <c r="C477" s="10" t="s">
        <v>24</v>
      </c>
      <c r="D477" s="10" t="s">
        <v>16</v>
      </c>
      <c r="E477" s="1" t="s">
        <v>47</v>
      </c>
      <c r="F477" s="1" t="s">
        <v>32</v>
      </c>
      <c r="G477">
        <v>240000</v>
      </c>
      <c r="H477" s="1">
        <v>2</v>
      </c>
      <c r="I477" s="1" t="s">
        <v>39</v>
      </c>
      <c r="J477" s="1" t="s">
        <v>37</v>
      </c>
      <c r="K477">
        <v>480000</v>
      </c>
    </row>
    <row r="478" spans="1:11" x14ac:dyDescent="0.2">
      <c r="A478" s="2" t="s">
        <v>515</v>
      </c>
      <c r="B478" s="3">
        <v>45762</v>
      </c>
      <c r="C478" s="10" t="s">
        <v>13</v>
      </c>
      <c r="D478" s="10" t="s">
        <v>14</v>
      </c>
      <c r="E478" s="1" t="s">
        <v>31</v>
      </c>
      <c r="F478" s="1" t="s">
        <v>41</v>
      </c>
      <c r="G478">
        <v>275000</v>
      </c>
      <c r="H478" s="1">
        <v>2</v>
      </c>
      <c r="I478" s="1" t="s">
        <v>39</v>
      </c>
      <c r="J478" s="1" t="s">
        <v>29</v>
      </c>
      <c r="K478">
        <v>550000</v>
      </c>
    </row>
    <row r="479" spans="1:11" x14ac:dyDescent="0.2">
      <c r="A479" s="2" t="s">
        <v>516</v>
      </c>
      <c r="B479" s="3">
        <v>45730</v>
      </c>
      <c r="C479" s="10" t="s">
        <v>21</v>
      </c>
      <c r="D479" s="10" t="s">
        <v>22</v>
      </c>
      <c r="E479" s="1" t="s">
        <v>36</v>
      </c>
      <c r="F479" s="1" t="s">
        <v>34</v>
      </c>
      <c r="G479">
        <v>75000</v>
      </c>
      <c r="H479" s="1">
        <v>3</v>
      </c>
      <c r="I479" s="1" t="s">
        <v>39</v>
      </c>
      <c r="J479" s="1" t="s">
        <v>37</v>
      </c>
      <c r="K479">
        <v>225000</v>
      </c>
    </row>
    <row r="480" spans="1:11" x14ac:dyDescent="0.2">
      <c r="A480" s="2" t="s">
        <v>517</v>
      </c>
      <c r="B480" s="3">
        <v>45732</v>
      </c>
      <c r="C480" s="10" t="s">
        <v>23</v>
      </c>
      <c r="D480" s="10" t="s">
        <v>12</v>
      </c>
      <c r="E480" s="1" t="s">
        <v>47</v>
      </c>
      <c r="F480" s="1" t="s">
        <v>41</v>
      </c>
      <c r="G480">
        <v>375000</v>
      </c>
      <c r="H480" s="1">
        <v>2</v>
      </c>
      <c r="I480" s="1" t="s">
        <v>39</v>
      </c>
      <c r="J480" s="1" t="s">
        <v>37</v>
      </c>
      <c r="K480">
        <v>750000</v>
      </c>
    </row>
    <row r="481" spans="1:11" x14ac:dyDescent="0.2">
      <c r="A481" s="2" t="s">
        <v>518</v>
      </c>
      <c r="B481" s="3">
        <v>45722</v>
      </c>
      <c r="C481" s="10" t="s">
        <v>24</v>
      </c>
      <c r="D481" s="10" t="s">
        <v>16</v>
      </c>
      <c r="E481" s="1" t="s">
        <v>26</v>
      </c>
      <c r="F481" s="1" t="s">
        <v>45</v>
      </c>
      <c r="G481">
        <v>240000</v>
      </c>
      <c r="H481" s="1">
        <v>1</v>
      </c>
      <c r="I481" s="1" t="s">
        <v>39</v>
      </c>
      <c r="J481" s="1" t="s">
        <v>29</v>
      </c>
      <c r="K481">
        <v>240000</v>
      </c>
    </row>
    <row r="482" spans="1:11" x14ac:dyDescent="0.2">
      <c r="A482" s="2" t="s">
        <v>519</v>
      </c>
      <c r="B482" s="3">
        <v>45752</v>
      </c>
      <c r="C482" s="10" t="s">
        <v>17</v>
      </c>
      <c r="D482" s="10" t="s">
        <v>18</v>
      </c>
      <c r="E482" s="1" t="s">
        <v>31</v>
      </c>
      <c r="F482" s="1" t="s">
        <v>45</v>
      </c>
      <c r="G482">
        <v>300000</v>
      </c>
      <c r="H482" s="1">
        <v>2</v>
      </c>
      <c r="I482" s="1" t="s">
        <v>39</v>
      </c>
      <c r="J482" s="1" t="s">
        <v>29</v>
      </c>
      <c r="K482">
        <v>600000</v>
      </c>
    </row>
    <row r="483" spans="1:11" x14ac:dyDescent="0.2">
      <c r="A483" s="2" t="s">
        <v>520</v>
      </c>
      <c r="B483" s="3">
        <v>45798</v>
      </c>
      <c r="C483" s="10" t="s">
        <v>21</v>
      </c>
      <c r="D483" s="10" t="s">
        <v>22</v>
      </c>
      <c r="E483" s="1" t="s">
        <v>26</v>
      </c>
      <c r="F483" s="1" t="s">
        <v>34</v>
      </c>
      <c r="G483">
        <v>75000</v>
      </c>
      <c r="H483" s="1">
        <v>1</v>
      </c>
      <c r="I483" s="1" t="s">
        <v>39</v>
      </c>
      <c r="J483" s="1" t="s">
        <v>37</v>
      </c>
      <c r="K483">
        <v>75000</v>
      </c>
    </row>
    <row r="484" spans="1:11" x14ac:dyDescent="0.2">
      <c r="A484" s="2" t="s">
        <v>521</v>
      </c>
      <c r="B484" s="3">
        <v>45789</v>
      </c>
      <c r="C484" s="10" t="s">
        <v>24</v>
      </c>
      <c r="D484" s="10" t="s">
        <v>16</v>
      </c>
      <c r="E484" s="1" t="s">
        <v>31</v>
      </c>
      <c r="F484" s="1" t="s">
        <v>60</v>
      </c>
      <c r="G484">
        <v>240000</v>
      </c>
      <c r="H484" s="1">
        <v>1</v>
      </c>
      <c r="I484" s="1" t="s">
        <v>28</v>
      </c>
      <c r="J484" s="1" t="s">
        <v>29</v>
      </c>
      <c r="K484">
        <v>240000</v>
      </c>
    </row>
    <row r="485" spans="1:11" x14ac:dyDescent="0.2">
      <c r="A485" s="2" t="s">
        <v>522</v>
      </c>
      <c r="B485" s="3">
        <v>45697</v>
      </c>
      <c r="C485" s="10" t="s">
        <v>15</v>
      </c>
      <c r="D485" s="10" t="s">
        <v>16</v>
      </c>
      <c r="E485" s="1" t="s">
        <v>26</v>
      </c>
      <c r="F485" s="1" t="s">
        <v>32</v>
      </c>
      <c r="G485">
        <v>225000</v>
      </c>
      <c r="H485" s="1">
        <v>3</v>
      </c>
      <c r="I485" s="1" t="s">
        <v>28</v>
      </c>
      <c r="J485" s="1" t="s">
        <v>29</v>
      </c>
      <c r="K485">
        <v>675000</v>
      </c>
    </row>
    <row r="486" spans="1:11" x14ac:dyDescent="0.2">
      <c r="A486" s="2" t="s">
        <v>523</v>
      </c>
      <c r="B486" s="3">
        <v>45716</v>
      </c>
      <c r="C486" s="10" t="s">
        <v>19</v>
      </c>
      <c r="D486" s="10" t="s">
        <v>20</v>
      </c>
      <c r="E486" s="1" t="s">
        <v>26</v>
      </c>
      <c r="F486" s="1" t="s">
        <v>34</v>
      </c>
      <c r="G486">
        <v>250000</v>
      </c>
      <c r="H486" s="1">
        <v>1</v>
      </c>
      <c r="I486" s="1" t="s">
        <v>28</v>
      </c>
      <c r="J486" s="1" t="s">
        <v>29</v>
      </c>
      <c r="K486">
        <v>250000</v>
      </c>
    </row>
    <row r="487" spans="1:11" x14ac:dyDescent="0.2">
      <c r="A487" s="2" t="s">
        <v>524</v>
      </c>
      <c r="B487" s="3">
        <v>45722</v>
      </c>
      <c r="C487" s="10" t="s">
        <v>17</v>
      </c>
      <c r="D487" s="10" t="s">
        <v>18</v>
      </c>
      <c r="E487" s="1" t="s">
        <v>47</v>
      </c>
      <c r="F487" s="1" t="s">
        <v>41</v>
      </c>
      <c r="G487">
        <v>300000</v>
      </c>
      <c r="H487" s="1">
        <v>3</v>
      </c>
      <c r="I487" s="1" t="s">
        <v>28</v>
      </c>
      <c r="J487" s="1" t="s">
        <v>29</v>
      </c>
      <c r="K487">
        <v>900000</v>
      </c>
    </row>
    <row r="488" spans="1:11" x14ac:dyDescent="0.2">
      <c r="A488" s="2" t="s">
        <v>525</v>
      </c>
      <c r="B488" s="3">
        <v>45813</v>
      </c>
      <c r="C488" s="10" t="s">
        <v>15</v>
      </c>
      <c r="D488" s="10" t="s">
        <v>16</v>
      </c>
      <c r="E488" s="1" t="s">
        <v>26</v>
      </c>
      <c r="F488" s="1" t="s">
        <v>60</v>
      </c>
      <c r="G488">
        <v>225000</v>
      </c>
      <c r="H488" s="1">
        <v>2</v>
      </c>
      <c r="I488" s="1" t="s">
        <v>28</v>
      </c>
      <c r="J488" s="1" t="s">
        <v>37</v>
      </c>
      <c r="K488">
        <v>450000</v>
      </c>
    </row>
    <row r="489" spans="1:11" x14ac:dyDescent="0.2">
      <c r="A489" s="2" t="s">
        <v>526</v>
      </c>
      <c r="B489" s="3">
        <v>45694</v>
      </c>
      <c r="C489" s="10" t="s">
        <v>17</v>
      </c>
      <c r="D489" s="10" t="s">
        <v>18</v>
      </c>
      <c r="E489" s="1" t="s">
        <v>26</v>
      </c>
      <c r="F489" s="1" t="s">
        <v>34</v>
      </c>
      <c r="G489">
        <v>300000</v>
      </c>
      <c r="H489" s="1">
        <v>2</v>
      </c>
      <c r="I489" s="1" t="s">
        <v>28</v>
      </c>
      <c r="J489" s="1" t="s">
        <v>29</v>
      </c>
      <c r="K489">
        <v>600000</v>
      </c>
    </row>
    <row r="490" spans="1:11" x14ac:dyDescent="0.2">
      <c r="A490" s="2" t="s">
        <v>527</v>
      </c>
      <c r="B490" s="3">
        <v>45764</v>
      </c>
      <c r="C490" s="10" t="s">
        <v>24</v>
      </c>
      <c r="D490" s="10" t="s">
        <v>16</v>
      </c>
      <c r="E490" s="1" t="s">
        <v>36</v>
      </c>
      <c r="F490" s="1" t="s">
        <v>45</v>
      </c>
      <c r="G490">
        <v>240000</v>
      </c>
      <c r="H490" s="1">
        <v>2</v>
      </c>
      <c r="I490" s="1" t="s">
        <v>39</v>
      </c>
      <c r="J490" s="1" t="s">
        <v>37</v>
      </c>
      <c r="K490">
        <v>480000</v>
      </c>
    </row>
    <row r="491" spans="1:11" x14ac:dyDescent="0.2">
      <c r="A491" s="2" t="s">
        <v>528</v>
      </c>
      <c r="B491" s="3">
        <v>45789</v>
      </c>
      <c r="C491" s="10" t="s">
        <v>11</v>
      </c>
      <c r="D491" s="10" t="s">
        <v>12</v>
      </c>
      <c r="E491" s="1" t="s">
        <v>31</v>
      </c>
      <c r="F491" s="1" t="s">
        <v>34</v>
      </c>
      <c r="G491">
        <v>350000</v>
      </c>
      <c r="H491" s="1">
        <v>3</v>
      </c>
      <c r="I491" s="1" t="s">
        <v>28</v>
      </c>
      <c r="J491" s="1" t="s">
        <v>29</v>
      </c>
      <c r="K491">
        <v>1050000</v>
      </c>
    </row>
    <row r="492" spans="1:11" x14ac:dyDescent="0.2">
      <c r="A492" s="2" t="s">
        <v>529</v>
      </c>
      <c r="B492" s="3">
        <v>45799</v>
      </c>
      <c r="C492" s="10" t="s">
        <v>24</v>
      </c>
      <c r="D492" s="10" t="s">
        <v>16</v>
      </c>
      <c r="E492" s="1" t="s">
        <v>31</v>
      </c>
      <c r="F492" s="1" t="s">
        <v>27</v>
      </c>
      <c r="G492">
        <v>240000</v>
      </c>
      <c r="H492" s="1">
        <v>3</v>
      </c>
      <c r="I492" s="1" t="s">
        <v>39</v>
      </c>
      <c r="J492" s="1" t="s">
        <v>29</v>
      </c>
      <c r="K492">
        <v>720000</v>
      </c>
    </row>
    <row r="493" spans="1:11" x14ac:dyDescent="0.2">
      <c r="A493" s="2" t="s">
        <v>530</v>
      </c>
      <c r="B493" s="3">
        <v>45771</v>
      </c>
      <c r="C493" s="10" t="s">
        <v>23</v>
      </c>
      <c r="D493" s="10" t="s">
        <v>12</v>
      </c>
      <c r="E493" s="1" t="s">
        <v>47</v>
      </c>
      <c r="F493" s="1" t="s">
        <v>27</v>
      </c>
      <c r="G493">
        <v>375000</v>
      </c>
      <c r="H493" s="1">
        <v>1</v>
      </c>
      <c r="I493" s="1" t="s">
        <v>39</v>
      </c>
      <c r="J493" s="1" t="s">
        <v>37</v>
      </c>
      <c r="K493">
        <v>375000</v>
      </c>
    </row>
    <row r="494" spans="1:11" x14ac:dyDescent="0.2">
      <c r="A494" s="2" t="s">
        <v>531</v>
      </c>
      <c r="B494" s="3">
        <v>45694</v>
      </c>
      <c r="C494" s="10" t="s">
        <v>19</v>
      </c>
      <c r="D494" s="10" t="s">
        <v>20</v>
      </c>
      <c r="E494" s="1" t="s">
        <v>31</v>
      </c>
      <c r="F494" s="1" t="s">
        <v>27</v>
      </c>
      <c r="G494">
        <v>250000</v>
      </c>
      <c r="H494" s="1">
        <v>3</v>
      </c>
      <c r="I494" s="1" t="s">
        <v>39</v>
      </c>
      <c r="J494" s="1" t="s">
        <v>37</v>
      </c>
      <c r="K494">
        <v>750000</v>
      </c>
    </row>
    <row r="495" spans="1:11" x14ac:dyDescent="0.2">
      <c r="A495" s="2" t="s">
        <v>532</v>
      </c>
      <c r="B495" s="3">
        <v>45760</v>
      </c>
      <c r="C495" s="10" t="s">
        <v>23</v>
      </c>
      <c r="D495" s="10" t="s">
        <v>12</v>
      </c>
      <c r="E495" s="1" t="s">
        <v>26</v>
      </c>
      <c r="F495" s="1" t="s">
        <v>34</v>
      </c>
      <c r="G495">
        <v>375000</v>
      </c>
      <c r="H495" s="1">
        <v>2</v>
      </c>
      <c r="I495" s="1" t="s">
        <v>39</v>
      </c>
      <c r="J495" s="1" t="s">
        <v>29</v>
      </c>
      <c r="K495">
        <v>750000</v>
      </c>
    </row>
    <row r="496" spans="1:11" x14ac:dyDescent="0.2">
      <c r="A496" s="2" t="s">
        <v>533</v>
      </c>
      <c r="B496" s="3">
        <v>45697</v>
      </c>
      <c r="C496" s="10" t="s">
        <v>21</v>
      </c>
      <c r="D496" s="10" t="s">
        <v>22</v>
      </c>
      <c r="E496" s="1" t="s">
        <v>26</v>
      </c>
      <c r="F496" s="1" t="s">
        <v>27</v>
      </c>
      <c r="G496">
        <v>75000</v>
      </c>
      <c r="H496" s="1">
        <v>3</v>
      </c>
      <c r="I496" s="1" t="s">
        <v>28</v>
      </c>
      <c r="J496" s="1" t="s">
        <v>29</v>
      </c>
      <c r="K496">
        <v>225000</v>
      </c>
    </row>
    <row r="497" spans="1:11" x14ac:dyDescent="0.2">
      <c r="A497" s="2" t="s">
        <v>534</v>
      </c>
      <c r="B497" s="3">
        <v>45772</v>
      </c>
      <c r="C497" s="10" t="s">
        <v>23</v>
      </c>
      <c r="D497" s="10" t="s">
        <v>12</v>
      </c>
      <c r="E497" s="1" t="s">
        <v>26</v>
      </c>
      <c r="F497" s="1" t="s">
        <v>32</v>
      </c>
      <c r="G497">
        <v>375000</v>
      </c>
      <c r="H497" s="1">
        <v>1</v>
      </c>
      <c r="I497" s="1" t="s">
        <v>28</v>
      </c>
      <c r="J497" s="1" t="s">
        <v>37</v>
      </c>
      <c r="K497">
        <v>375000</v>
      </c>
    </row>
    <row r="498" spans="1:11" x14ac:dyDescent="0.2">
      <c r="A498" s="2" t="s">
        <v>535</v>
      </c>
      <c r="B498" s="3">
        <v>45745</v>
      </c>
      <c r="C498" s="10" t="s">
        <v>13</v>
      </c>
      <c r="D498" s="10" t="s">
        <v>14</v>
      </c>
      <c r="E498" s="1" t="s">
        <v>36</v>
      </c>
      <c r="F498" s="1" t="s">
        <v>60</v>
      </c>
      <c r="G498">
        <v>275000</v>
      </c>
      <c r="H498" s="1">
        <v>1</v>
      </c>
      <c r="I498" s="1" t="s">
        <v>28</v>
      </c>
      <c r="J498" s="1" t="s">
        <v>37</v>
      </c>
      <c r="K498">
        <v>275000</v>
      </c>
    </row>
    <row r="499" spans="1:11" x14ac:dyDescent="0.2">
      <c r="A499" s="2" t="s">
        <v>536</v>
      </c>
      <c r="B499" s="3">
        <v>45718</v>
      </c>
      <c r="C499" s="10" t="s">
        <v>24</v>
      </c>
      <c r="D499" s="10" t="s">
        <v>16</v>
      </c>
      <c r="E499" s="1" t="s">
        <v>31</v>
      </c>
      <c r="F499" s="1" t="s">
        <v>34</v>
      </c>
      <c r="G499">
        <v>240000</v>
      </c>
      <c r="H499" s="1">
        <v>2</v>
      </c>
      <c r="I499" s="1" t="s">
        <v>28</v>
      </c>
      <c r="J499" s="1" t="s">
        <v>37</v>
      </c>
      <c r="K499">
        <v>480000</v>
      </c>
    </row>
    <row r="500" spans="1:11" x14ac:dyDescent="0.2">
      <c r="A500" s="2" t="s">
        <v>537</v>
      </c>
      <c r="B500" s="3">
        <v>45727</v>
      </c>
      <c r="C500" s="10" t="s">
        <v>13</v>
      </c>
      <c r="D500" s="10" t="s">
        <v>14</v>
      </c>
      <c r="E500" s="1" t="s">
        <v>26</v>
      </c>
      <c r="F500" s="1" t="s">
        <v>45</v>
      </c>
      <c r="G500">
        <v>275000</v>
      </c>
      <c r="H500" s="1">
        <v>1</v>
      </c>
      <c r="I500" s="1" t="s">
        <v>28</v>
      </c>
      <c r="J500" s="1" t="s">
        <v>29</v>
      </c>
      <c r="K500">
        <v>275000</v>
      </c>
    </row>
    <row r="501" spans="1:11" x14ac:dyDescent="0.2">
      <c r="A501" s="2" t="s">
        <v>538</v>
      </c>
      <c r="B501" s="3">
        <v>45802</v>
      </c>
      <c r="C501" s="10" t="s">
        <v>15</v>
      </c>
      <c r="D501" s="10" t="s">
        <v>16</v>
      </c>
      <c r="E501" s="1" t="s">
        <v>26</v>
      </c>
      <c r="F501" s="1" t="s">
        <v>60</v>
      </c>
      <c r="G501">
        <v>225000</v>
      </c>
      <c r="H501" s="1">
        <v>2</v>
      </c>
      <c r="I501" s="1" t="s">
        <v>39</v>
      </c>
      <c r="J501" s="1" t="s">
        <v>29</v>
      </c>
      <c r="K501">
        <v>450000</v>
      </c>
    </row>
    <row r="502" spans="1:11" x14ac:dyDescent="0.2">
      <c r="A502" s="2" t="s">
        <v>539</v>
      </c>
      <c r="B502" s="3">
        <v>45690</v>
      </c>
      <c r="C502" s="10" t="s">
        <v>24</v>
      </c>
      <c r="D502" s="10" t="s">
        <v>16</v>
      </c>
      <c r="E502" s="1" t="s">
        <v>36</v>
      </c>
      <c r="F502" s="1" t="s">
        <v>34</v>
      </c>
      <c r="G502">
        <v>240000</v>
      </c>
      <c r="H502" s="1">
        <v>2</v>
      </c>
      <c r="I502" s="1" t="s">
        <v>28</v>
      </c>
      <c r="J502" s="1" t="s">
        <v>29</v>
      </c>
      <c r="K502">
        <v>480000</v>
      </c>
    </row>
    <row r="503" spans="1:11" x14ac:dyDescent="0.2">
      <c r="A503" s="2" t="s">
        <v>540</v>
      </c>
      <c r="B503" s="3">
        <v>45740</v>
      </c>
      <c r="C503" s="10" t="s">
        <v>23</v>
      </c>
      <c r="D503" s="10" t="s">
        <v>12</v>
      </c>
      <c r="E503" s="1" t="s">
        <v>47</v>
      </c>
      <c r="F503" s="1" t="s">
        <v>60</v>
      </c>
      <c r="G503">
        <v>375000</v>
      </c>
      <c r="H503" s="1">
        <v>1</v>
      </c>
      <c r="I503" s="1" t="s">
        <v>39</v>
      </c>
      <c r="J503" s="1" t="s">
        <v>37</v>
      </c>
      <c r="K503">
        <v>375000</v>
      </c>
    </row>
    <row r="504" spans="1:11" x14ac:dyDescent="0.2">
      <c r="A504" s="2" t="s">
        <v>541</v>
      </c>
      <c r="B504" s="3">
        <v>45804</v>
      </c>
      <c r="C504" s="10" t="s">
        <v>17</v>
      </c>
      <c r="D504" s="10" t="s">
        <v>18</v>
      </c>
      <c r="E504" s="1" t="s">
        <v>47</v>
      </c>
      <c r="F504" s="1" t="s">
        <v>34</v>
      </c>
      <c r="G504">
        <v>300000</v>
      </c>
      <c r="H504" s="1">
        <v>2</v>
      </c>
      <c r="I504" s="1" t="s">
        <v>39</v>
      </c>
      <c r="J504" s="1" t="s">
        <v>37</v>
      </c>
      <c r="K504">
        <v>600000</v>
      </c>
    </row>
    <row r="505" spans="1:11" x14ac:dyDescent="0.2">
      <c r="A505" s="2" t="s">
        <v>542</v>
      </c>
      <c r="B505" s="3">
        <v>45789</v>
      </c>
      <c r="C505" s="10" t="s">
        <v>11</v>
      </c>
      <c r="D505" s="10" t="s">
        <v>12</v>
      </c>
      <c r="E505" s="1" t="s">
        <v>47</v>
      </c>
      <c r="F505" s="1" t="s">
        <v>41</v>
      </c>
      <c r="G505">
        <v>350000</v>
      </c>
      <c r="H505" s="1">
        <v>2</v>
      </c>
      <c r="I505" s="1" t="s">
        <v>39</v>
      </c>
      <c r="J505" s="1" t="s">
        <v>37</v>
      </c>
      <c r="K505">
        <v>700000</v>
      </c>
    </row>
    <row r="506" spans="1:11" x14ac:dyDescent="0.2">
      <c r="A506" s="2" t="s">
        <v>543</v>
      </c>
      <c r="B506" s="3">
        <v>45771</v>
      </c>
      <c r="C506" s="10" t="s">
        <v>17</v>
      </c>
      <c r="D506" s="10" t="s">
        <v>18</v>
      </c>
      <c r="E506" s="1" t="s">
        <v>31</v>
      </c>
      <c r="F506" s="1" t="s">
        <v>34</v>
      </c>
      <c r="G506">
        <v>300000</v>
      </c>
      <c r="H506" s="1">
        <v>1</v>
      </c>
      <c r="I506" s="1" t="s">
        <v>28</v>
      </c>
      <c r="J506" s="1" t="s">
        <v>29</v>
      </c>
      <c r="K506">
        <v>300000</v>
      </c>
    </row>
    <row r="507" spans="1:11" x14ac:dyDescent="0.2">
      <c r="A507" s="2" t="s">
        <v>544</v>
      </c>
      <c r="B507" s="3">
        <v>45834</v>
      </c>
      <c r="C507" s="10" t="s">
        <v>17</v>
      </c>
      <c r="D507" s="10" t="s">
        <v>18</v>
      </c>
      <c r="E507" s="1" t="s">
        <v>36</v>
      </c>
      <c r="F507" s="1" t="s">
        <v>34</v>
      </c>
      <c r="G507">
        <v>300000</v>
      </c>
      <c r="H507" s="1">
        <v>3</v>
      </c>
      <c r="I507" s="1" t="s">
        <v>39</v>
      </c>
      <c r="J507" s="1" t="s">
        <v>29</v>
      </c>
      <c r="K507">
        <v>900000</v>
      </c>
    </row>
    <row r="508" spans="1:11" x14ac:dyDescent="0.2">
      <c r="A508" s="2" t="s">
        <v>545</v>
      </c>
      <c r="B508" s="3">
        <v>45797</v>
      </c>
      <c r="C508" s="10" t="s">
        <v>19</v>
      </c>
      <c r="D508" s="10" t="s">
        <v>20</v>
      </c>
      <c r="E508" s="1" t="s">
        <v>26</v>
      </c>
      <c r="F508" s="1" t="s">
        <v>27</v>
      </c>
      <c r="G508">
        <v>250000</v>
      </c>
      <c r="H508" s="1">
        <v>2</v>
      </c>
      <c r="I508" s="1" t="s">
        <v>28</v>
      </c>
      <c r="J508" s="1" t="s">
        <v>37</v>
      </c>
      <c r="K508">
        <v>500000</v>
      </c>
    </row>
    <row r="509" spans="1:11" x14ac:dyDescent="0.2">
      <c r="A509" s="2" t="s">
        <v>546</v>
      </c>
      <c r="B509" s="3">
        <v>45822</v>
      </c>
      <c r="C509" s="10" t="s">
        <v>24</v>
      </c>
      <c r="D509" s="10" t="s">
        <v>16</v>
      </c>
      <c r="E509" s="1" t="s">
        <v>47</v>
      </c>
      <c r="F509" s="1" t="s">
        <v>60</v>
      </c>
      <c r="G509">
        <v>240000</v>
      </c>
      <c r="H509" s="1">
        <v>2</v>
      </c>
      <c r="I509" s="1" t="s">
        <v>39</v>
      </c>
      <c r="J509" s="1" t="s">
        <v>37</v>
      </c>
      <c r="K509">
        <v>480000</v>
      </c>
    </row>
    <row r="510" spans="1:11" x14ac:dyDescent="0.2">
      <c r="A510" s="2" t="s">
        <v>547</v>
      </c>
      <c r="B510" s="3">
        <v>45823</v>
      </c>
      <c r="C510" s="10" t="s">
        <v>13</v>
      </c>
      <c r="D510" s="10" t="s">
        <v>14</v>
      </c>
      <c r="E510" s="1" t="s">
        <v>31</v>
      </c>
      <c r="F510" s="1" t="s">
        <v>45</v>
      </c>
      <c r="G510">
        <v>275000</v>
      </c>
      <c r="H510" s="1">
        <v>2</v>
      </c>
      <c r="I510" s="1" t="s">
        <v>39</v>
      </c>
      <c r="J510" s="1" t="s">
        <v>29</v>
      </c>
      <c r="K510">
        <v>550000</v>
      </c>
    </row>
    <row r="511" spans="1:11" x14ac:dyDescent="0.2">
      <c r="A511" s="2" t="s">
        <v>548</v>
      </c>
      <c r="B511" s="3">
        <v>45699</v>
      </c>
      <c r="C511" s="10" t="s">
        <v>21</v>
      </c>
      <c r="D511" s="10" t="s">
        <v>22</v>
      </c>
      <c r="E511" s="1" t="s">
        <v>47</v>
      </c>
      <c r="F511" s="1" t="s">
        <v>32</v>
      </c>
      <c r="G511">
        <v>75000</v>
      </c>
      <c r="H511" s="1">
        <v>3</v>
      </c>
      <c r="I511" s="1" t="s">
        <v>39</v>
      </c>
      <c r="J511" s="1" t="s">
        <v>37</v>
      </c>
      <c r="K511">
        <v>225000</v>
      </c>
    </row>
    <row r="512" spans="1:11" x14ac:dyDescent="0.2">
      <c r="A512" s="2" t="s">
        <v>549</v>
      </c>
      <c r="B512" s="3">
        <v>45671</v>
      </c>
      <c r="C512" s="10" t="s">
        <v>21</v>
      </c>
      <c r="D512" s="10" t="s">
        <v>22</v>
      </c>
      <c r="E512" s="1" t="s">
        <v>26</v>
      </c>
      <c r="F512" s="1" t="s">
        <v>45</v>
      </c>
      <c r="G512">
        <v>75000</v>
      </c>
      <c r="H512" s="1">
        <v>1</v>
      </c>
      <c r="I512" s="1" t="s">
        <v>39</v>
      </c>
      <c r="J512" s="1" t="s">
        <v>29</v>
      </c>
      <c r="K512">
        <v>75000</v>
      </c>
    </row>
    <row r="513" spans="1:11" x14ac:dyDescent="0.2">
      <c r="A513" s="2" t="s">
        <v>550</v>
      </c>
      <c r="B513" s="3">
        <v>45838</v>
      </c>
      <c r="C513" s="10" t="s">
        <v>13</v>
      </c>
      <c r="D513" s="10" t="s">
        <v>14</v>
      </c>
      <c r="E513" s="1" t="s">
        <v>47</v>
      </c>
      <c r="F513" s="1" t="s">
        <v>60</v>
      </c>
      <c r="G513">
        <v>275000</v>
      </c>
      <c r="H513" s="1">
        <v>2</v>
      </c>
      <c r="I513" s="1" t="s">
        <v>28</v>
      </c>
      <c r="J513" s="1" t="s">
        <v>37</v>
      </c>
      <c r="K513">
        <v>550000</v>
      </c>
    </row>
    <row r="514" spans="1:11" x14ac:dyDescent="0.2">
      <c r="A514" s="2" t="s">
        <v>551</v>
      </c>
      <c r="B514" s="3">
        <v>45667</v>
      </c>
      <c r="C514" s="10" t="s">
        <v>11</v>
      </c>
      <c r="D514" s="10" t="s">
        <v>12</v>
      </c>
      <c r="E514" s="1" t="s">
        <v>47</v>
      </c>
      <c r="F514" s="1" t="s">
        <v>34</v>
      </c>
      <c r="G514">
        <v>350000</v>
      </c>
      <c r="H514" s="1">
        <v>1</v>
      </c>
      <c r="I514" s="1" t="s">
        <v>28</v>
      </c>
      <c r="J514" s="1" t="s">
        <v>29</v>
      </c>
      <c r="K514">
        <v>350000</v>
      </c>
    </row>
    <row r="515" spans="1:11" x14ac:dyDescent="0.2">
      <c r="A515" s="2" t="s">
        <v>552</v>
      </c>
      <c r="B515" s="3">
        <v>45695</v>
      </c>
      <c r="C515" s="10" t="s">
        <v>11</v>
      </c>
      <c r="D515" s="10" t="s">
        <v>12</v>
      </c>
      <c r="E515" s="1" t="s">
        <v>31</v>
      </c>
      <c r="F515" s="1" t="s">
        <v>32</v>
      </c>
      <c r="G515">
        <v>350000</v>
      </c>
      <c r="H515" s="1">
        <v>3</v>
      </c>
      <c r="I515" s="1" t="s">
        <v>39</v>
      </c>
      <c r="J515" s="1" t="s">
        <v>29</v>
      </c>
      <c r="K515">
        <v>1050000</v>
      </c>
    </row>
    <row r="516" spans="1:11" x14ac:dyDescent="0.2">
      <c r="A516" s="2" t="s">
        <v>553</v>
      </c>
      <c r="B516" s="3">
        <v>45729</v>
      </c>
      <c r="C516" s="10" t="s">
        <v>13</v>
      </c>
      <c r="D516" s="10" t="s">
        <v>14</v>
      </c>
      <c r="E516" s="1" t="s">
        <v>26</v>
      </c>
      <c r="F516" s="1" t="s">
        <v>34</v>
      </c>
      <c r="G516">
        <v>275000</v>
      </c>
      <c r="H516" s="1">
        <v>3</v>
      </c>
      <c r="I516" s="1" t="s">
        <v>28</v>
      </c>
      <c r="J516" s="1" t="s">
        <v>29</v>
      </c>
      <c r="K516">
        <v>825000</v>
      </c>
    </row>
    <row r="517" spans="1:11" x14ac:dyDescent="0.2">
      <c r="A517" s="2" t="s">
        <v>554</v>
      </c>
      <c r="B517" s="3">
        <v>45681</v>
      </c>
      <c r="C517" s="10" t="s">
        <v>17</v>
      </c>
      <c r="D517" s="10" t="s">
        <v>18</v>
      </c>
      <c r="E517" s="1" t="s">
        <v>31</v>
      </c>
      <c r="F517" s="1" t="s">
        <v>32</v>
      </c>
      <c r="G517">
        <v>300000</v>
      </c>
      <c r="H517" s="1">
        <v>2</v>
      </c>
      <c r="I517" s="1" t="s">
        <v>39</v>
      </c>
      <c r="J517" s="1" t="s">
        <v>37</v>
      </c>
      <c r="K517">
        <v>600000</v>
      </c>
    </row>
    <row r="518" spans="1:11" x14ac:dyDescent="0.2">
      <c r="A518" s="2" t="s">
        <v>555</v>
      </c>
      <c r="B518" s="3">
        <v>45820</v>
      </c>
      <c r="C518" s="10" t="s">
        <v>13</v>
      </c>
      <c r="D518" s="10" t="s">
        <v>14</v>
      </c>
      <c r="E518" s="1" t="s">
        <v>36</v>
      </c>
      <c r="F518" s="1" t="s">
        <v>32</v>
      </c>
      <c r="G518">
        <v>275000</v>
      </c>
      <c r="H518" s="1">
        <v>3</v>
      </c>
      <c r="I518" s="1" t="s">
        <v>39</v>
      </c>
      <c r="J518" s="1" t="s">
        <v>29</v>
      </c>
      <c r="K518">
        <v>825000</v>
      </c>
    </row>
    <row r="519" spans="1:11" x14ac:dyDescent="0.2">
      <c r="A519" s="2" t="s">
        <v>556</v>
      </c>
      <c r="B519" s="3">
        <v>45703</v>
      </c>
      <c r="C519" s="10" t="s">
        <v>11</v>
      </c>
      <c r="D519" s="10" t="s">
        <v>12</v>
      </c>
      <c r="E519" s="1" t="s">
        <v>26</v>
      </c>
      <c r="F519" s="1" t="s">
        <v>32</v>
      </c>
      <c r="G519">
        <v>350000</v>
      </c>
      <c r="H519" s="1">
        <v>2</v>
      </c>
      <c r="I519" s="1" t="s">
        <v>39</v>
      </c>
      <c r="J519" s="1" t="s">
        <v>37</v>
      </c>
      <c r="K519">
        <v>700000</v>
      </c>
    </row>
    <row r="520" spans="1:11" x14ac:dyDescent="0.2">
      <c r="A520" s="2" t="s">
        <v>557</v>
      </c>
      <c r="B520" s="3">
        <v>45770</v>
      </c>
      <c r="C520" s="10" t="s">
        <v>21</v>
      </c>
      <c r="D520" s="10" t="s">
        <v>22</v>
      </c>
      <c r="E520" s="1" t="s">
        <v>31</v>
      </c>
      <c r="F520" s="1" t="s">
        <v>45</v>
      </c>
      <c r="G520">
        <v>75000</v>
      </c>
      <c r="H520" s="1">
        <v>3</v>
      </c>
      <c r="I520" s="1" t="s">
        <v>39</v>
      </c>
      <c r="J520" s="1" t="s">
        <v>37</v>
      </c>
      <c r="K520">
        <v>225000</v>
      </c>
    </row>
    <row r="521" spans="1:11" x14ac:dyDescent="0.2">
      <c r="A521" s="2" t="s">
        <v>558</v>
      </c>
      <c r="B521" s="3">
        <v>45702</v>
      </c>
      <c r="C521" s="10" t="s">
        <v>13</v>
      </c>
      <c r="D521" s="10" t="s">
        <v>14</v>
      </c>
      <c r="E521" s="1" t="s">
        <v>47</v>
      </c>
      <c r="F521" s="1" t="s">
        <v>41</v>
      </c>
      <c r="G521">
        <v>275000</v>
      </c>
      <c r="H521" s="1">
        <v>2</v>
      </c>
      <c r="I521" s="1" t="s">
        <v>39</v>
      </c>
      <c r="J521" s="1" t="s">
        <v>37</v>
      </c>
      <c r="K521">
        <v>550000</v>
      </c>
    </row>
    <row r="522" spans="1:11" x14ac:dyDescent="0.2">
      <c r="A522" s="2" t="s">
        <v>559</v>
      </c>
      <c r="B522" s="3">
        <v>45792</v>
      </c>
      <c r="C522" s="10" t="s">
        <v>23</v>
      </c>
      <c r="D522" s="10" t="s">
        <v>12</v>
      </c>
      <c r="E522" s="1" t="s">
        <v>36</v>
      </c>
      <c r="F522" s="1" t="s">
        <v>34</v>
      </c>
      <c r="G522">
        <v>375000</v>
      </c>
      <c r="H522" s="1">
        <v>3</v>
      </c>
      <c r="I522" s="1" t="s">
        <v>39</v>
      </c>
      <c r="J522" s="1" t="s">
        <v>37</v>
      </c>
      <c r="K522">
        <v>1125000</v>
      </c>
    </row>
    <row r="523" spans="1:11" x14ac:dyDescent="0.2">
      <c r="A523" s="2" t="s">
        <v>560</v>
      </c>
      <c r="B523" s="3">
        <v>45747</v>
      </c>
      <c r="C523" s="10" t="s">
        <v>24</v>
      </c>
      <c r="D523" s="10" t="s">
        <v>16</v>
      </c>
      <c r="E523" s="1" t="s">
        <v>26</v>
      </c>
      <c r="F523" s="1" t="s">
        <v>32</v>
      </c>
      <c r="G523">
        <v>240000</v>
      </c>
      <c r="H523" s="1">
        <v>3</v>
      </c>
      <c r="I523" s="1" t="s">
        <v>39</v>
      </c>
      <c r="J523" s="1" t="s">
        <v>37</v>
      </c>
      <c r="K523">
        <v>720000</v>
      </c>
    </row>
    <row r="524" spans="1:11" x14ac:dyDescent="0.2">
      <c r="A524" s="2" t="s">
        <v>561</v>
      </c>
      <c r="B524" s="3">
        <v>45788</v>
      </c>
      <c r="C524" s="10" t="s">
        <v>17</v>
      </c>
      <c r="D524" s="10" t="s">
        <v>18</v>
      </c>
      <c r="E524" s="1" t="s">
        <v>26</v>
      </c>
      <c r="F524" s="1" t="s">
        <v>41</v>
      </c>
      <c r="G524">
        <v>300000</v>
      </c>
      <c r="H524" s="1">
        <v>3</v>
      </c>
      <c r="I524" s="1" t="s">
        <v>28</v>
      </c>
      <c r="J524" s="1" t="s">
        <v>37</v>
      </c>
      <c r="K524">
        <v>900000</v>
      </c>
    </row>
    <row r="525" spans="1:11" x14ac:dyDescent="0.2">
      <c r="A525" s="2" t="s">
        <v>562</v>
      </c>
      <c r="B525" s="3">
        <v>45683</v>
      </c>
      <c r="C525" s="10" t="s">
        <v>24</v>
      </c>
      <c r="D525" s="10" t="s">
        <v>16</v>
      </c>
      <c r="E525" s="1" t="s">
        <v>36</v>
      </c>
      <c r="F525" s="1" t="s">
        <v>45</v>
      </c>
      <c r="G525">
        <v>240000</v>
      </c>
      <c r="H525" s="1">
        <v>1</v>
      </c>
      <c r="I525" s="1" t="s">
        <v>28</v>
      </c>
      <c r="J525" s="1" t="s">
        <v>29</v>
      </c>
      <c r="K525">
        <v>240000</v>
      </c>
    </row>
    <row r="526" spans="1:11" x14ac:dyDescent="0.2">
      <c r="A526" s="2" t="s">
        <v>563</v>
      </c>
      <c r="B526" s="3">
        <v>45737</v>
      </c>
      <c r="C526" s="10" t="s">
        <v>24</v>
      </c>
      <c r="D526" s="10" t="s">
        <v>16</v>
      </c>
      <c r="E526" s="1" t="s">
        <v>47</v>
      </c>
      <c r="F526" s="1" t="s">
        <v>45</v>
      </c>
      <c r="G526">
        <v>240000</v>
      </c>
      <c r="H526" s="1">
        <v>3</v>
      </c>
      <c r="I526" s="1" t="s">
        <v>39</v>
      </c>
      <c r="J526" s="1" t="s">
        <v>37</v>
      </c>
      <c r="K526">
        <v>720000</v>
      </c>
    </row>
    <row r="527" spans="1:11" x14ac:dyDescent="0.2">
      <c r="A527" s="2" t="s">
        <v>564</v>
      </c>
      <c r="B527" s="3">
        <v>45787</v>
      </c>
      <c r="C527" s="10" t="s">
        <v>15</v>
      </c>
      <c r="D527" s="10" t="s">
        <v>16</v>
      </c>
      <c r="E527" s="1" t="s">
        <v>31</v>
      </c>
      <c r="F527" s="1" t="s">
        <v>27</v>
      </c>
      <c r="G527">
        <v>225000</v>
      </c>
      <c r="H527" s="1">
        <v>2</v>
      </c>
      <c r="I527" s="1" t="s">
        <v>39</v>
      </c>
      <c r="J527" s="1" t="s">
        <v>29</v>
      </c>
      <c r="K527">
        <v>450000</v>
      </c>
    </row>
    <row r="528" spans="1:11" x14ac:dyDescent="0.2">
      <c r="A528" s="2" t="s">
        <v>565</v>
      </c>
      <c r="B528" s="3">
        <v>45720</v>
      </c>
      <c r="C528" s="10" t="s">
        <v>23</v>
      </c>
      <c r="D528" s="10" t="s">
        <v>12</v>
      </c>
      <c r="E528" s="1" t="s">
        <v>36</v>
      </c>
      <c r="F528" s="1" t="s">
        <v>41</v>
      </c>
      <c r="G528">
        <v>375000</v>
      </c>
      <c r="H528" s="1">
        <v>3</v>
      </c>
      <c r="I528" s="1" t="s">
        <v>28</v>
      </c>
      <c r="J528" s="1" t="s">
        <v>37</v>
      </c>
      <c r="K528">
        <v>1125000</v>
      </c>
    </row>
    <row r="529" spans="1:11" x14ac:dyDescent="0.2">
      <c r="A529" s="2" t="s">
        <v>566</v>
      </c>
      <c r="B529" s="3">
        <v>45681</v>
      </c>
      <c r="C529" s="10" t="s">
        <v>13</v>
      </c>
      <c r="D529" s="10" t="s">
        <v>14</v>
      </c>
      <c r="E529" s="1" t="s">
        <v>26</v>
      </c>
      <c r="F529" s="1" t="s">
        <v>27</v>
      </c>
      <c r="G529">
        <v>275000</v>
      </c>
      <c r="H529" s="1">
        <v>3</v>
      </c>
      <c r="I529" s="1" t="s">
        <v>39</v>
      </c>
      <c r="J529" s="1" t="s">
        <v>29</v>
      </c>
      <c r="K529">
        <v>825000</v>
      </c>
    </row>
    <row r="530" spans="1:11" x14ac:dyDescent="0.2">
      <c r="A530" s="2" t="s">
        <v>567</v>
      </c>
      <c r="B530" s="3">
        <v>45701</v>
      </c>
      <c r="C530" s="10" t="s">
        <v>19</v>
      </c>
      <c r="D530" s="10" t="s">
        <v>20</v>
      </c>
      <c r="E530" s="1" t="s">
        <v>36</v>
      </c>
      <c r="F530" s="1" t="s">
        <v>27</v>
      </c>
      <c r="G530">
        <v>250000</v>
      </c>
      <c r="H530" s="1">
        <v>3</v>
      </c>
      <c r="I530" s="1" t="s">
        <v>39</v>
      </c>
      <c r="J530" s="1" t="s">
        <v>37</v>
      </c>
      <c r="K530">
        <v>750000</v>
      </c>
    </row>
    <row r="531" spans="1:11" x14ac:dyDescent="0.2">
      <c r="A531" s="2" t="s">
        <v>568</v>
      </c>
      <c r="B531" s="3">
        <v>45673</v>
      </c>
      <c r="C531" s="10" t="s">
        <v>24</v>
      </c>
      <c r="D531" s="10" t="s">
        <v>16</v>
      </c>
      <c r="E531" s="1" t="s">
        <v>47</v>
      </c>
      <c r="F531" s="1" t="s">
        <v>41</v>
      </c>
      <c r="G531">
        <v>240000</v>
      </c>
      <c r="H531" s="1">
        <v>1</v>
      </c>
      <c r="I531" s="1" t="s">
        <v>39</v>
      </c>
      <c r="J531" s="1" t="s">
        <v>29</v>
      </c>
      <c r="K531">
        <v>240000</v>
      </c>
    </row>
    <row r="532" spans="1:11" x14ac:dyDescent="0.2">
      <c r="A532" s="2" t="s">
        <v>569</v>
      </c>
      <c r="B532" s="3">
        <v>45794</v>
      </c>
      <c r="C532" s="10" t="s">
        <v>15</v>
      </c>
      <c r="D532" s="10" t="s">
        <v>16</v>
      </c>
      <c r="E532" s="1" t="s">
        <v>36</v>
      </c>
      <c r="F532" s="1" t="s">
        <v>32</v>
      </c>
      <c r="G532">
        <v>225000</v>
      </c>
      <c r="H532" s="1">
        <v>2</v>
      </c>
      <c r="I532" s="1" t="s">
        <v>39</v>
      </c>
      <c r="J532" s="1" t="s">
        <v>37</v>
      </c>
      <c r="K532">
        <v>450000</v>
      </c>
    </row>
    <row r="533" spans="1:11" x14ac:dyDescent="0.2">
      <c r="A533" s="2" t="s">
        <v>570</v>
      </c>
      <c r="B533" s="3">
        <v>45808</v>
      </c>
      <c r="C533" s="10" t="s">
        <v>23</v>
      </c>
      <c r="D533" s="10" t="s">
        <v>12</v>
      </c>
      <c r="E533" s="1" t="s">
        <v>31</v>
      </c>
      <c r="F533" s="1" t="s">
        <v>41</v>
      </c>
      <c r="G533">
        <v>375000</v>
      </c>
      <c r="H533" s="1">
        <v>1</v>
      </c>
      <c r="I533" s="1" t="s">
        <v>39</v>
      </c>
      <c r="J533" s="1" t="s">
        <v>29</v>
      </c>
      <c r="K533">
        <v>375000</v>
      </c>
    </row>
    <row r="534" spans="1:11" x14ac:dyDescent="0.2">
      <c r="A534" s="2" t="s">
        <v>571</v>
      </c>
      <c r="B534" s="3">
        <v>45683</v>
      </c>
      <c r="C534" s="10" t="s">
        <v>13</v>
      </c>
      <c r="D534" s="10" t="s">
        <v>14</v>
      </c>
      <c r="E534" s="1" t="s">
        <v>36</v>
      </c>
      <c r="F534" s="1" t="s">
        <v>27</v>
      </c>
      <c r="G534">
        <v>275000</v>
      </c>
      <c r="H534" s="1">
        <v>2</v>
      </c>
      <c r="I534" s="1" t="s">
        <v>28</v>
      </c>
      <c r="J534" s="1" t="s">
        <v>29</v>
      </c>
      <c r="K534">
        <v>550000</v>
      </c>
    </row>
    <row r="535" spans="1:11" x14ac:dyDescent="0.2">
      <c r="A535" s="2" t="s">
        <v>572</v>
      </c>
      <c r="B535" s="3">
        <v>45700</v>
      </c>
      <c r="C535" s="10" t="s">
        <v>17</v>
      </c>
      <c r="D535" s="10" t="s">
        <v>18</v>
      </c>
      <c r="E535" s="1" t="s">
        <v>36</v>
      </c>
      <c r="F535" s="1" t="s">
        <v>34</v>
      </c>
      <c r="G535">
        <v>300000</v>
      </c>
      <c r="H535" s="1">
        <v>1</v>
      </c>
      <c r="I535" s="1" t="s">
        <v>28</v>
      </c>
      <c r="J535" s="1" t="s">
        <v>37</v>
      </c>
      <c r="K535">
        <v>300000</v>
      </c>
    </row>
    <row r="536" spans="1:11" x14ac:dyDescent="0.2">
      <c r="A536" s="2" t="s">
        <v>573</v>
      </c>
      <c r="B536" s="3">
        <v>45829</v>
      </c>
      <c r="C536" s="10" t="s">
        <v>17</v>
      </c>
      <c r="D536" s="10" t="s">
        <v>18</v>
      </c>
      <c r="E536" s="1" t="s">
        <v>31</v>
      </c>
      <c r="F536" s="1" t="s">
        <v>45</v>
      </c>
      <c r="G536">
        <v>300000</v>
      </c>
      <c r="H536" s="1">
        <v>2</v>
      </c>
      <c r="I536" s="1" t="s">
        <v>28</v>
      </c>
      <c r="J536" s="1" t="s">
        <v>37</v>
      </c>
      <c r="K536">
        <v>600000</v>
      </c>
    </row>
    <row r="537" spans="1:11" x14ac:dyDescent="0.2">
      <c r="A537" s="2" t="s">
        <v>574</v>
      </c>
      <c r="B537" s="3">
        <v>45773</v>
      </c>
      <c r="C537" s="10" t="s">
        <v>11</v>
      </c>
      <c r="D537" s="10" t="s">
        <v>12</v>
      </c>
      <c r="E537" s="1" t="s">
        <v>36</v>
      </c>
      <c r="F537" s="1" t="s">
        <v>41</v>
      </c>
      <c r="G537">
        <v>350000</v>
      </c>
      <c r="H537" s="1">
        <v>3</v>
      </c>
      <c r="I537" s="1" t="s">
        <v>39</v>
      </c>
      <c r="J537" s="1" t="s">
        <v>29</v>
      </c>
      <c r="K537">
        <v>1050000</v>
      </c>
    </row>
    <row r="538" spans="1:11" x14ac:dyDescent="0.2">
      <c r="A538" s="2" t="s">
        <v>575</v>
      </c>
      <c r="B538" s="3">
        <v>45772</v>
      </c>
      <c r="C538" s="10" t="s">
        <v>13</v>
      </c>
      <c r="D538" s="10" t="s">
        <v>14</v>
      </c>
      <c r="E538" s="1" t="s">
        <v>31</v>
      </c>
      <c r="F538" s="1" t="s">
        <v>41</v>
      </c>
      <c r="G538">
        <v>275000</v>
      </c>
      <c r="H538" s="1">
        <v>3</v>
      </c>
      <c r="I538" s="1" t="s">
        <v>28</v>
      </c>
      <c r="J538" s="1" t="s">
        <v>29</v>
      </c>
      <c r="K538">
        <v>825000</v>
      </c>
    </row>
    <row r="539" spans="1:11" x14ac:dyDescent="0.2">
      <c r="A539" s="2" t="s">
        <v>576</v>
      </c>
      <c r="B539" s="3">
        <v>45775</v>
      </c>
      <c r="C539" s="10" t="s">
        <v>21</v>
      </c>
      <c r="D539" s="10" t="s">
        <v>22</v>
      </c>
      <c r="E539" s="1" t="s">
        <v>31</v>
      </c>
      <c r="F539" s="1" t="s">
        <v>41</v>
      </c>
      <c r="G539">
        <v>75000</v>
      </c>
      <c r="H539" s="1">
        <v>1</v>
      </c>
      <c r="I539" s="1" t="s">
        <v>39</v>
      </c>
      <c r="J539" s="1" t="s">
        <v>29</v>
      </c>
      <c r="K539">
        <v>75000</v>
      </c>
    </row>
    <row r="540" spans="1:11" x14ac:dyDescent="0.2">
      <c r="A540" s="2" t="s">
        <v>577</v>
      </c>
      <c r="B540" s="3">
        <v>45775</v>
      </c>
      <c r="C540" s="10" t="s">
        <v>17</v>
      </c>
      <c r="D540" s="10" t="s">
        <v>18</v>
      </c>
      <c r="E540" s="1" t="s">
        <v>47</v>
      </c>
      <c r="F540" s="1" t="s">
        <v>45</v>
      </c>
      <c r="G540">
        <v>300000</v>
      </c>
      <c r="H540" s="1">
        <v>3</v>
      </c>
      <c r="I540" s="1" t="s">
        <v>28</v>
      </c>
      <c r="J540" s="1" t="s">
        <v>37</v>
      </c>
      <c r="K540">
        <v>900000</v>
      </c>
    </row>
    <row r="541" spans="1:11" x14ac:dyDescent="0.2">
      <c r="A541" s="2" t="s">
        <v>578</v>
      </c>
      <c r="B541" s="3">
        <v>45819</v>
      </c>
      <c r="C541" s="10" t="s">
        <v>15</v>
      </c>
      <c r="D541" s="10" t="s">
        <v>16</v>
      </c>
      <c r="E541" s="1" t="s">
        <v>36</v>
      </c>
      <c r="F541" s="1" t="s">
        <v>27</v>
      </c>
      <c r="G541">
        <v>225000</v>
      </c>
      <c r="H541" s="1">
        <v>3</v>
      </c>
      <c r="I541" s="1" t="s">
        <v>28</v>
      </c>
      <c r="J541" s="1" t="s">
        <v>29</v>
      </c>
      <c r="K541">
        <v>675000</v>
      </c>
    </row>
    <row r="542" spans="1:11" x14ac:dyDescent="0.2">
      <c r="A542" s="2" t="s">
        <v>579</v>
      </c>
      <c r="B542" s="3">
        <v>45737</v>
      </c>
      <c r="C542" s="10" t="s">
        <v>24</v>
      </c>
      <c r="D542" s="10" t="s">
        <v>16</v>
      </c>
      <c r="E542" s="1" t="s">
        <v>36</v>
      </c>
      <c r="F542" s="1" t="s">
        <v>60</v>
      </c>
      <c r="G542">
        <v>240000</v>
      </c>
      <c r="H542" s="1">
        <v>1</v>
      </c>
      <c r="I542" s="1" t="s">
        <v>28</v>
      </c>
      <c r="J542" s="1" t="s">
        <v>37</v>
      </c>
      <c r="K542">
        <v>240000</v>
      </c>
    </row>
    <row r="543" spans="1:11" x14ac:dyDescent="0.2">
      <c r="A543" s="2" t="s">
        <v>580</v>
      </c>
      <c r="B543" s="3">
        <v>45743</v>
      </c>
      <c r="C543" s="10" t="s">
        <v>23</v>
      </c>
      <c r="D543" s="10" t="s">
        <v>12</v>
      </c>
      <c r="E543" s="1" t="s">
        <v>31</v>
      </c>
      <c r="F543" s="1" t="s">
        <v>45</v>
      </c>
      <c r="G543">
        <v>375000</v>
      </c>
      <c r="H543" s="1">
        <v>2</v>
      </c>
      <c r="I543" s="1" t="s">
        <v>28</v>
      </c>
      <c r="J543" s="1" t="s">
        <v>37</v>
      </c>
      <c r="K543">
        <v>750000</v>
      </c>
    </row>
    <row r="544" spans="1:11" x14ac:dyDescent="0.2">
      <c r="A544" s="2" t="s">
        <v>581</v>
      </c>
      <c r="B544" s="3">
        <v>45783</v>
      </c>
      <c r="C544" s="10" t="s">
        <v>23</v>
      </c>
      <c r="D544" s="10" t="s">
        <v>12</v>
      </c>
      <c r="E544" s="1" t="s">
        <v>36</v>
      </c>
      <c r="F544" s="1" t="s">
        <v>41</v>
      </c>
      <c r="G544">
        <v>375000</v>
      </c>
      <c r="H544" s="1">
        <v>2</v>
      </c>
      <c r="I544" s="1" t="s">
        <v>28</v>
      </c>
      <c r="J544" s="1" t="s">
        <v>37</v>
      </c>
      <c r="K544">
        <v>750000</v>
      </c>
    </row>
    <row r="545" spans="1:11" x14ac:dyDescent="0.2">
      <c r="A545" s="2" t="s">
        <v>582</v>
      </c>
      <c r="B545" s="3">
        <v>45714</v>
      </c>
      <c r="C545" s="10" t="s">
        <v>19</v>
      </c>
      <c r="D545" s="10" t="s">
        <v>20</v>
      </c>
      <c r="E545" s="1" t="s">
        <v>26</v>
      </c>
      <c r="F545" s="1" t="s">
        <v>60</v>
      </c>
      <c r="G545">
        <v>250000</v>
      </c>
      <c r="H545" s="1">
        <v>1</v>
      </c>
      <c r="I545" s="1" t="s">
        <v>28</v>
      </c>
      <c r="J545" s="1" t="s">
        <v>29</v>
      </c>
      <c r="K545">
        <v>250000</v>
      </c>
    </row>
    <row r="546" spans="1:11" x14ac:dyDescent="0.2">
      <c r="A546" s="2" t="s">
        <v>583</v>
      </c>
      <c r="B546" s="3">
        <v>45701</v>
      </c>
      <c r="C546" s="10" t="s">
        <v>13</v>
      </c>
      <c r="D546" s="10" t="s">
        <v>14</v>
      </c>
      <c r="E546" s="1" t="s">
        <v>36</v>
      </c>
      <c r="F546" s="1" t="s">
        <v>27</v>
      </c>
      <c r="G546">
        <v>275000</v>
      </c>
      <c r="H546" s="1">
        <v>1</v>
      </c>
      <c r="I546" s="1" t="s">
        <v>39</v>
      </c>
      <c r="J546" s="1" t="s">
        <v>29</v>
      </c>
      <c r="K546">
        <v>275000</v>
      </c>
    </row>
    <row r="547" spans="1:11" x14ac:dyDescent="0.2">
      <c r="A547" s="2" t="s">
        <v>584</v>
      </c>
      <c r="B547" s="3">
        <v>45720</v>
      </c>
      <c r="C547" s="10" t="s">
        <v>21</v>
      </c>
      <c r="D547" s="10" t="s">
        <v>22</v>
      </c>
      <c r="E547" s="1" t="s">
        <v>26</v>
      </c>
      <c r="F547" s="1" t="s">
        <v>34</v>
      </c>
      <c r="G547">
        <v>75000</v>
      </c>
      <c r="H547" s="1">
        <v>3</v>
      </c>
      <c r="I547" s="1" t="s">
        <v>39</v>
      </c>
      <c r="J547" s="1" t="s">
        <v>37</v>
      </c>
      <c r="K547">
        <v>225000</v>
      </c>
    </row>
    <row r="548" spans="1:11" x14ac:dyDescent="0.2">
      <c r="A548" s="2" t="s">
        <v>585</v>
      </c>
      <c r="B548" s="3">
        <v>45778</v>
      </c>
      <c r="C548" s="10" t="s">
        <v>19</v>
      </c>
      <c r="D548" s="10" t="s">
        <v>20</v>
      </c>
      <c r="E548" s="1" t="s">
        <v>36</v>
      </c>
      <c r="F548" s="1" t="s">
        <v>32</v>
      </c>
      <c r="G548">
        <v>250000</v>
      </c>
      <c r="H548" s="1">
        <v>3</v>
      </c>
      <c r="I548" s="1" t="s">
        <v>39</v>
      </c>
      <c r="J548" s="1" t="s">
        <v>37</v>
      </c>
      <c r="K548">
        <v>750000</v>
      </c>
    </row>
    <row r="549" spans="1:11" x14ac:dyDescent="0.2">
      <c r="A549" s="2" t="s">
        <v>586</v>
      </c>
      <c r="B549" s="3">
        <v>45805</v>
      </c>
      <c r="C549" s="10" t="s">
        <v>11</v>
      </c>
      <c r="D549" s="10" t="s">
        <v>12</v>
      </c>
      <c r="E549" s="1" t="s">
        <v>31</v>
      </c>
      <c r="F549" s="1" t="s">
        <v>60</v>
      </c>
      <c r="G549">
        <v>350000</v>
      </c>
      <c r="H549" s="1">
        <v>3</v>
      </c>
      <c r="I549" s="1" t="s">
        <v>28</v>
      </c>
      <c r="J549" s="1" t="s">
        <v>37</v>
      </c>
      <c r="K549">
        <v>1050000</v>
      </c>
    </row>
    <row r="550" spans="1:11" x14ac:dyDescent="0.2">
      <c r="A550" s="2" t="s">
        <v>587</v>
      </c>
      <c r="B550" s="3">
        <v>45668</v>
      </c>
      <c r="C550" s="10" t="s">
        <v>13</v>
      </c>
      <c r="D550" s="10" t="s">
        <v>14</v>
      </c>
      <c r="E550" s="1" t="s">
        <v>31</v>
      </c>
      <c r="F550" s="1" t="s">
        <v>34</v>
      </c>
      <c r="G550">
        <v>275000</v>
      </c>
      <c r="H550" s="1">
        <v>2</v>
      </c>
      <c r="I550" s="1" t="s">
        <v>28</v>
      </c>
      <c r="J550" s="1" t="s">
        <v>29</v>
      </c>
      <c r="K550">
        <v>550000</v>
      </c>
    </row>
    <row r="551" spans="1:11" x14ac:dyDescent="0.2">
      <c r="A551" s="2" t="s">
        <v>588</v>
      </c>
      <c r="B551" s="3">
        <v>45807</v>
      </c>
      <c r="C551" s="10" t="s">
        <v>13</v>
      </c>
      <c r="D551" s="10" t="s">
        <v>14</v>
      </c>
      <c r="E551" s="1" t="s">
        <v>47</v>
      </c>
      <c r="F551" s="1" t="s">
        <v>41</v>
      </c>
      <c r="G551">
        <v>275000</v>
      </c>
      <c r="H551" s="1">
        <v>2</v>
      </c>
      <c r="I551" s="1" t="s">
        <v>28</v>
      </c>
      <c r="J551" s="1" t="s">
        <v>37</v>
      </c>
      <c r="K551">
        <v>550000</v>
      </c>
    </row>
    <row r="552" spans="1:11" x14ac:dyDescent="0.2">
      <c r="A552" s="2" t="s">
        <v>589</v>
      </c>
      <c r="B552" s="3">
        <v>45707</v>
      </c>
      <c r="C552" s="10" t="s">
        <v>21</v>
      </c>
      <c r="D552" s="10" t="s">
        <v>22</v>
      </c>
      <c r="E552" s="1" t="s">
        <v>36</v>
      </c>
      <c r="F552" s="1" t="s">
        <v>32</v>
      </c>
      <c r="G552">
        <v>75000</v>
      </c>
      <c r="H552" s="1">
        <v>3</v>
      </c>
      <c r="I552" s="1" t="s">
        <v>39</v>
      </c>
      <c r="J552" s="1" t="s">
        <v>29</v>
      </c>
      <c r="K552">
        <v>225000</v>
      </c>
    </row>
    <row r="553" spans="1:11" x14ac:dyDescent="0.2">
      <c r="A553" s="2" t="s">
        <v>590</v>
      </c>
      <c r="B553" s="3">
        <v>45718</v>
      </c>
      <c r="C553" s="10" t="s">
        <v>11</v>
      </c>
      <c r="D553" s="10" t="s">
        <v>12</v>
      </c>
      <c r="E553" s="1" t="s">
        <v>26</v>
      </c>
      <c r="F553" s="1" t="s">
        <v>41</v>
      </c>
      <c r="G553">
        <v>350000</v>
      </c>
      <c r="H553" s="1">
        <v>3</v>
      </c>
      <c r="I553" s="1" t="s">
        <v>28</v>
      </c>
      <c r="J553" s="1" t="s">
        <v>37</v>
      </c>
      <c r="K553">
        <v>1050000</v>
      </c>
    </row>
    <row r="554" spans="1:11" x14ac:dyDescent="0.2">
      <c r="A554" s="2" t="s">
        <v>591</v>
      </c>
      <c r="B554" s="3">
        <v>45734</v>
      </c>
      <c r="C554" s="10" t="s">
        <v>19</v>
      </c>
      <c r="D554" s="10" t="s">
        <v>20</v>
      </c>
      <c r="E554" s="1" t="s">
        <v>31</v>
      </c>
      <c r="F554" s="1" t="s">
        <v>32</v>
      </c>
      <c r="G554">
        <v>250000</v>
      </c>
      <c r="H554" s="1">
        <v>1</v>
      </c>
      <c r="I554" s="1" t="s">
        <v>28</v>
      </c>
      <c r="J554" s="1" t="s">
        <v>29</v>
      </c>
      <c r="K554">
        <v>250000</v>
      </c>
    </row>
    <row r="555" spans="1:11" x14ac:dyDescent="0.2">
      <c r="A555" s="2" t="s">
        <v>592</v>
      </c>
      <c r="B555" s="3">
        <v>45831</v>
      </c>
      <c r="C555" s="10" t="s">
        <v>17</v>
      </c>
      <c r="D555" s="10" t="s">
        <v>18</v>
      </c>
      <c r="E555" s="1" t="s">
        <v>26</v>
      </c>
      <c r="F555" s="1" t="s">
        <v>27</v>
      </c>
      <c r="G555">
        <v>300000</v>
      </c>
      <c r="H555" s="1">
        <v>1</v>
      </c>
      <c r="I555" s="1" t="s">
        <v>39</v>
      </c>
      <c r="J555" s="1" t="s">
        <v>29</v>
      </c>
      <c r="K555">
        <v>300000</v>
      </c>
    </row>
    <row r="556" spans="1:11" x14ac:dyDescent="0.2">
      <c r="A556" s="2" t="s">
        <v>593</v>
      </c>
      <c r="B556" s="3">
        <v>45749</v>
      </c>
      <c r="C556" s="10" t="s">
        <v>23</v>
      </c>
      <c r="D556" s="10" t="s">
        <v>12</v>
      </c>
      <c r="E556" s="1" t="s">
        <v>36</v>
      </c>
      <c r="F556" s="1" t="s">
        <v>32</v>
      </c>
      <c r="G556">
        <v>375000</v>
      </c>
      <c r="H556" s="1">
        <v>2</v>
      </c>
      <c r="I556" s="1" t="s">
        <v>39</v>
      </c>
      <c r="J556" s="1" t="s">
        <v>37</v>
      </c>
      <c r="K556">
        <v>750000</v>
      </c>
    </row>
    <row r="557" spans="1:11" x14ac:dyDescent="0.2">
      <c r="A557" s="2" t="s">
        <v>594</v>
      </c>
      <c r="B557" s="3">
        <v>45821</v>
      </c>
      <c r="C557" s="10" t="s">
        <v>11</v>
      </c>
      <c r="D557" s="10" t="s">
        <v>12</v>
      </c>
      <c r="E557" s="1" t="s">
        <v>26</v>
      </c>
      <c r="F557" s="1" t="s">
        <v>60</v>
      </c>
      <c r="G557">
        <v>350000</v>
      </c>
      <c r="H557" s="1">
        <v>2</v>
      </c>
      <c r="I557" s="1" t="s">
        <v>28</v>
      </c>
      <c r="J557" s="1" t="s">
        <v>29</v>
      </c>
      <c r="K557">
        <v>700000</v>
      </c>
    </row>
    <row r="558" spans="1:11" x14ac:dyDescent="0.2">
      <c r="A558" s="2" t="s">
        <v>595</v>
      </c>
      <c r="B558" s="3">
        <v>45708</v>
      </c>
      <c r="C558" s="10" t="s">
        <v>21</v>
      </c>
      <c r="D558" s="10" t="s">
        <v>22</v>
      </c>
      <c r="E558" s="1" t="s">
        <v>31</v>
      </c>
      <c r="F558" s="1" t="s">
        <v>41</v>
      </c>
      <c r="G558">
        <v>75000</v>
      </c>
      <c r="H558" s="1">
        <v>3</v>
      </c>
      <c r="I558" s="1" t="s">
        <v>39</v>
      </c>
      <c r="J558" s="1" t="s">
        <v>37</v>
      </c>
      <c r="K558">
        <v>225000</v>
      </c>
    </row>
    <row r="559" spans="1:11" x14ac:dyDescent="0.2">
      <c r="A559" s="2" t="s">
        <v>596</v>
      </c>
      <c r="B559" s="3">
        <v>45661</v>
      </c>
      <c r="C559" s="10" t="s">
        <v>17</v>
      </c>
      <c r="D559" s="10" t="s">
        <v>18</v>
      </c>
      <c r="E559" s="1" t="s">
        <v>26</v>
      </c>
      <c r="F559" s="1" t="s">
        <v>32</v>
      </c>
      <c r="G559">
        <v>300000</v>
      </c>
      <c r="H559" s="1">
        <v>3</v>
      </c>
      <c r="I559" s="1" t="s">
        <v>39</v>
      </c>
      <c r="J559" s="1" t="s">
        <v>29</v>
      </c>
      <c r="K559">
        <v>900000</v>
      </c>
    </row>
    <row r="560" spans="1:11" x14ac:dyDescent="0.2">
      <c r="A560" s="2" t="s">
        <v>597</v>
      </c>
      <c r="B560" s="3">
        <v>45831</v>
      </c>
      <c r="C560" s="10" t="s">
        <v>23</v>
      </c>
      <c r="D560" s="10" t="s">
        <v>12</v>
      </c>
      <c r="E560" s="1" t="s">
        <v>36</v>
      </c>
      <c r="F560" s="1" t="s">
        <v>41</v>
      </c>
      <c r="G560">
        <v>375000</v>
      </c>
      <c r="H560" s="1">
        <v>2</v>
      </c>
      <c r="I560" s="1" t="s">
        <v>28</v>
      </c>
      <c r="J560" s="1" t="s">
        <v>29</v>
      </c>
      <c r="K560">
        <v>750000</v>
      </c>
    </row>
    <row r="561" spans="1:11" x14ac:dyDescent="0.2">
      <c r="A561" s="2" t="s">
        <v>598</v>
      </c>
      <c r="B561" s="3">
        <v>45804</v>
      </c>
      <c r="C561" s="10" t="s">
        <v>19</v>
      </c>
      <c r="D561" s="10" t="s">
        <v>20</v>
      </c>
      <c r="E561" s="1" t="s">
        <v>47</v>
      </c>
      <c r="F561" s="1" t="s">
        <v>41</v>
      </c>
      <c r="G561">
        <v>250000</v>
      </c>
      <c r="H561" s="1">
        <v>2</v>
      </c>
      <c r="I561" s="1" t="s">
        <v>28</v>
      </c>
      <c r="J561" s="1" t="s">
        <v>29</v>
      </c>
      <c r="K561">
        <v>500000</v>
      </c>
    </row>
    <row r="562" spans="1:11" x14ac:dyDescent="0.2">
      <c r="A562" s="2" t="s">
        <v>599</v>
      </c>
      <c r="B562" s="3">
        <v>45692</v>
      </c>
      <c r="C562" s="10" t="s">
        <v>23</v>
      </c>
      <c r="D562" s="10" t="s">
        <v>12</v>
      </c>
      <c r="E562" s="1" t="s">
        <v>31</v>
      </c>
      <c r="F562" s="1" t="s">
        <v>41</v>
      </c>
      <c r="G562">
        <v>375000</v>
      </c>
      <c r="H562" s="1">
        <v>1</v>
      </c>
      <c r="I562" s="1" t="s">
        <v>39</v>
      </c>
      <c r="J562" s="1" t="s">
        <v>29</v>
      </c>
      <c r="K562">
        <v>375000</v>
      </c>
    </row>
    <row r="563" spans="1:11" x14ac:dyDescent="0.2">
      <c r="A563" s="2" t="s">
        <v>600</v>
      </c>
      <c r="B563" s="3">
        <v>45713</v>
      </c>
      <c r="C563" s="10" t="s">
        <v>21</v>
      </c>
      <c r="D563" s="10" t="s">
        <v>22</v>
      </c>
      <c r="E563" s="1" t="s">
        <v>47</v>
      </c>
      <c r="F563" s="1" t="s">
        <v>45</v>
      </c>
      <c r="G563">
        <v>75000</v>
      </c>
      <c r="H563" s="1">
        <v>1</v>
      </c>
      <c r="I563" s="1" t="s">
        <v>28</v>
      </c>
      <c r="J563" s="1" t="s">
        <v>29</v>
      </c>
      <c r="K563">
        <v>75000</v>
      </c>
    </row>
    <row r="564" spans="1:11" x14ac:dyDescent="0.2">
      <c r="A564" s="2" t="s">
        <v>601</v>
      </c>
      <c r="B564" s="3">
        <v>45713</v>
      </c>
      <c r="C564" s="10" t="s">
        <v>24</v>
      </c>
      <c r="D564" s="10" t="s">
        <v>16</v>
      </c>
      <c r="E564" s="1" t="s">
        <v>47</v>
      </c>
      <c r="F564" s="1" t="s">
        <v>45</v>
      </c>
      <c r="G564">
        <v>240000</v>
      </c>
      <c r="H564" s="1">
        <v>1</v>
      </c>
      <c r="I564" s="1" t="s">
        <v>39</v>
      </c>
      <c r="J564" s="1" t="s">
        <v>37</v>
      </c>
      <c r="K564">
        <v>240000</v>
      </c>
    </row>
    <row r="565" spans="1:11" x14ac:dyDescent="0.2">
      <c r="A565" s="2" t="s">
        <v>602</v>
      </c>
      <c r="B565" s="3">
        <v>45788</v>
      </c>
      <c r="C565" s="10" t="s">
        <v>23</v>
      </c>
      <c r="D565" s="10" t="s">
        <v>12</v>
      </c>
      <c r="E565" s="1" t="s">
        <v>47</v>
      </c>
      <c r="F565" s="1" t="s">
        <v>32</v>
      </c>
      <c r="G565">
        <v>375000</v>
      </c>
      <c r="H565" s="1">
        <v>1</v>
      </c>
      <c r="I565" s="1" t="s">
        <v>39</v>
      </c>
      <c r="J565" s="1" t="s">
        <v>29</v>
      </c>
      <c r="K565">
        <v>375000</v>
      </c>
    </row>
    <row r="566" spans="1:11" x14ac:dyDescent="0.2">
      <c r="A566" s="2" t="s">
        <v>603</v>
      </c>
      <c r="B566" s="3">
        <v>45684</v>
      </c>
      <c r="C566" s="10" t="s">
        <v>21</v>
      </c>
      <c r="D566" s="10" t="s">
        <v>22</v>
      </c>
      <c r="E566" s="1" t="s">
        <v>47</v>
      </c>
      <c r="F566" s="1" t="s">
        <v>60</v>
      </c>
      <c r="G566">
        <v>75000</v>
      </c>
      <c r="H566" s="1">
        <v>2</v>
      </c>
      <c r="I566" s="1" t="s">
        <v>39</v>
      </c>
      <c r="J566" s="1" t="s">
        <v>37</v>
      </c>
      <c r="K566">
        <v>150000</v>
      </c>
    </row>
    <row r="567" spans="1:11" x14ac:dyDescent="0.2">
      <c r="A567" s="2" t="s">
        <v>604</v>
      </c>
      <c r="B567" s="3">
        <v>45814</v>
      </c>
      <c r="C567" s="10" t="s">
        <v>13</v>
      </c>
      <c r="D567" s="10" t="s">
        <v>14</v>
      </c>
      <c r="E567" s="1" t="s">
        <v>47</v>
      </c>
      <c r="F567" s="1" t="s">
        <v>45</v>
      </c>
      <c r="G567">
        <v>275000</v>
      </c>
      <c r="H567" s="1">
        <v>2</v>
      </c>
      <c r="I567" s="1" t="s">
        <v>28</v>
      </c>
      <c r="J567" s="1" t="s">
        <v>37</v>
      </c>
      <c r="K567">
        <v>550000</v>
      </c>
    </row>
    <row r="568" spans="1:11" x14ac:dyDescent="0.2">
      <c r="A568" s="2" t="s">
        <v>605</v>
      </c>
      <c r="B568" s="3">
        <v>45681</v>
      </c>
      <c r="C568" s="10" t="s">
        <v>15</v>
      </c>
      <c r="D568" s="10" t="s">
        <v>16</v>
      </c>
      <c r="E568" s="1" t="s">
        <v>26</v>
      </c>
      <c r="F568" s="1" t="s">
        <v>60</v>
      </c>
      <c r="G568">
        <v>225000</v>
      </c>
      <c r="H568" s="1">
        <v>3</v>
      </c>
      <c r="I568" s="1" t="s">
        <v>39</v>
      </c>
      <c r="J568" s="1" t="s">
        <v>37</v>
      </c>
      <c r="K568">
        <v>675000</v>
      </c>
    </row>
    <row r="569" spans="1:11" x14ac:dyDescent="0.2">
      <c r="A569" s="2" t="s">
        <v>606</v>
      </c>
      <c r="B569" s="3">
        <v>45826</v>
      </c>
      <c r="C569" s="10" t="s">
        <v>13</v>
      </c>
      <c r="D569" s="10" t="s">
        <v>14</v>
      </c>
      <c r="E569" s="1" t="s">
        <v>47</v>
      </c>
      <c r="F569" s="1" t="s">
        <v>32</v>
      </c>
      <c r="G569">
        <v>275000</v>
      </c>
      <c r="H569" s="1">
        <v>1</v>
      </c>
      <c r="I569" s="1" t="s">
        <v>39</v>
      </c>
      <c r="J569" s="1" t="s">
        <v>29</v>
      </c>
      <c r="K569">
        <v>275000</v>
      </c>
    </row>
    <row r="570" spans="1:11" x14ac:dyDescent="0.2">
      <c r="A570" s="2" t="s">
        <v>607</v>
      </c>
      <c r="B570" s="3">
        <v>45766</v>
      </c>
      <c r="C570" s="10" t="s">
        <v>21</v>
      </c>
      <c r="D570" s="10" t="s">
        <v>22</v>
      </c>
      <c r="E570" s="1" t="s">
        <v>36</v>
      </c>
      <c r="F570" s="1" t="s">
        <v>60</v>
      </c>
      <c r="G570">
        <v>75000</v>
      </c>
      <c r="H570" s="1">
        <v>1</v>
      </c>
      <c r="I570" s="1" t="s">
        <v>39</v>
      </c>
      <c r="J570" s="1" t="s">
        <v>29</v>
      </c>
      <c r="K570">
        <v>75000</v>
      </c>
    </row>
    <row r="571" spans="1:11" x14ac:dyDescent="0.2">
      <c r="A571" s="2" t="s">
        <v>608</v>
      </c>
      <c r="B571" s="3">
        <v>45825</v>
      </c>
      <c r="C571" s="10" t="s">
        <v>19</v>
      </c>
      <c r="D571" s="10" t="s">
        <v>20</v>
      </c>
      <c r="E571" s="1" t="s">
        <v>26</v>
      </c>
      <c r="F571" s="1" t="s">
        <v>60</v>
      </c>
      <c r="G571">
        <v>250000</v>
      </c>
      <c r="H571" s="1">
        <v>3</v>
      </c>
      <c r="I571" s="1" t="s">
        <v>28</v>
      </c>
      <c r="J571" s="1" t="s">
        <v>29</v>
      </c>
      <c r="K571">
        <v>750000</v>
      </c>
    </row>
    <row r="572" spans="1:11" x14ac:dyDescent="0.2">
      <c r="A572" s="2" t="s">
        <v>609</v>
      </c>
      <c r="B572" s="3">
        <v>45694</v>
      </c>
      <c r="C572" s="10" t="s">
        <v>17</v>
      </c>
      <c r="D572" s="10" t="s">
        <v>18</v>
      </c>
      <c r="E572" s="1" t="s">
        <v>31</v>
      </c>
      <c r="F572" s="1" t="s">
        <v>32</v>
      </c>
      <c r="G572">
        <v>300000</v>
      </c>
      <c r="H572" s="1">
        <v>3</v>
      </c>
      <c r="I572" s="1" t="s">
        <v>28</v>
      </c>
      <c r="J572" s="1" t="s">
        <v>29</v>
      </c>
      <c r="K572">
        <v>900000</v>
      </c>
    </row>
    <row r="573" spans="1:11" x14ac:dyDescent="0.2">
      <c r="A573" s="2" t="s">
        <v>610</v>
      </c>
      <c r="B573" s="3">
        <v>45728</v>
      </c>
      <c r="C573" s="10" t="s">
        <v>11</v>
      </c>
      <c r="D573" s="10" t="s">
        <v>12</v>
      </c>
      <c r="E573" s="1" t="s">
        <v>31</v>
      </c>
      <c r="F573" s="1" t="s">
        <v>27</v>
      </c>
      <c r="G573">
        <v>350000</v>
      </c>
      <c r="H573" s="1">
        <v>2</v>
      </c>
      <c r="I573" s="1" t="s">
        <v>39</v>
      </c>
      <c r="J573" s="1" t="s">
        <v>29</v>
      </c>
      <c r="K573">
        <v>700000</v>
      </c>
    </row>
    <row r="574" spans="1:11" x14ac:dyDescent="0.2">
      <c r="A574" s="2" t="s">
        <v>611</v>
      </c>
      <c r="B574" s="3">
        <v>45735</v>
      </c>
      <c r="C574" s="10" t="s">
        <v>23</v>
      </c>
      <c r="D574" s="10" t="s">
        <v>12</v>
      </c>
      <c r="E574" s="1" t="s">
        <v>26</v>
      </c>
      <c r="F574" s="1" t="s">
        <v>60</v>
      </c>
      <c r="G574">
        <v>375000</v>
      </c>
      <c r="H574" s="1">
        <v>2</v>
      </c>
      <c r="I574" s="1" t="s">
        <v>28</v>
      </c>
      <c r="J574" s="1" t="s">
        <v>29</v>
      </c>
      <c r="K574">
        <v>750000</v>
      </c>
    </row>
    <row r="575" spans="1:11" x14ac:dyDescent="0.2">
      <c r="A575" s="2" t="s">
        <v>612</v>
      </c>
      <c r="B575" s="3">
        <v>45821</v>
      </c>
      <c r="C575" s="10" t="s">
        <v>23</v>
      </c>
      <c r="D575" s="10" t="s">
        <v>12</v>
      </c>
      <c r="E575" s="1" t="s">
        <v>47</v>
      </c>
      <c r="F575" s="1" t="s">
        <v>41</v>
      </c>
      <c r="G575">
        <v>375000</v>
      </c>
      <c r="H575" s="1">
        <v>2</v>
      </c>
      <c r="I575" s="1" t="s">
        <v>28</v>
      </c>
      <c r="J575" s="1" t="s">
        <v>37</v>
      </c>
      <c r="K575">
        <v>750000</v>
      </c>
    </row>
    <row r="576" spans="1:11" x14ac:dyDescent="0.2">
      <c r="A576" s="2" t="s">
        <v>613</v>
      </c>
      <c r="B576" s="3">
        <v>45717</v>
      </c>
      <c r="C576" s="10" t="s">
        <v>23</v>
      </c>
      <c r="D576" s="10" t="s">
        <v>12</v>
      </c>
      <c r="E576" s="1" t="s">
        <v>26</v>
      </c>
      <c r="F576" s="1" t="s">
        <v>34</v>
      </c>
      <c r="G576">
        <v>375000</v>
      </c>
      <c r="H576" s="1">
        <v>3</v>
      </c>
      <c r="I576" s="1" t="s">
        <v>28</v>
      </c>
      <c r="J576" s="1" t="s">
        <v>29</v>
      </c>
      <c r="K576">
        <v>1125000</v>
      </c>
    </row>
    <row r="577" spans="1:11" x14ac:dyDescent="0.2">
      <c r="A577" s="2" t="s">
        <v>614</v>
      </c>
      <c r="B577" s="3">
        <v>45671</v>
      </c>
      <c r="C577" s="10" t="s">
        <v>19</v>
      </c>
      <c r="D577" s="10" t="s">
        <v>20</v>
      </c>
      <c r="E577" s="1" t="s">
        <v>31</v>
      </c>
      <c r="F577" s="1" t="s">
        <v>32</v>
      </c>
      <c r="G577">
        <v>250000</v>
      </c>
      <c r="H577" s="1">
        <v>1</v>
      </c>
      <c r="I577" s="1" t="s">
        <v>28</v>
      </c>
      <c r="J577" s="1" t="s">
        <v>37</v>
      </c>
      <c r="K577">
        <v>250000</v>
      </c>
    </row>
    <row r="578" spans="1:11" x14ac:dyDescent="0.2">
      <c r="A578" s="2" t="s">
        <v>615</v>
      </c>
      <c r="B578" s="3">
        <v>45810</v>
      </c>
      <c r="C578" s="10" t="s">
        <v>24</v>
      </c>
      <c r="D578" s="10" t="s">
        <v>16</v>
      </c>
      <c r="E578" s="1" t="s">
        <v>31</v>
      </c>
      <c r="F578" s="1" t="s">
        <v>27</v>
      </c>
      <c r="G578">
        <v>240000</v>
      </c>
      <c r="H578" s="1">
        <v>1</v>
      </c>
      <c r="I578" s="1" t="s">
        <v>39</v>
      </c>
      <c r="J578" s="1" t="s">
        <v>29</v>
      </c>
      <c r="K578">
        <v>240000</v>
      </c>
    </row>
    <row r="579" spans="1:11" x14ac:dyDescent="0.2">
      <c r="A579" s="2" t="s">
        <v>616</v>
      </c>
      <c r="B579" s="3">
        <v>45818</v>
      </c>
      <c r="C579" s="10" t="s">
        <v>17</v>
      </c>
      <c r="D579" s="10" t="s">
        <v>18</v>
      </c>
      <c r="E579" s="1" t="s">
        <v>31</v>
      </c>
      <c r="F579" s="1" t="s">
        <v>32</v>
      </c>
      <c r="G579">
        <v>300000</v>
      </c>
      <c r="H579" s="1">
        <v>3</v>
      </c>
      <c r="I579" s="1" t="s">
        <v>39</v>
      </c>
      <c r="J579" s="1" t="s">
        <v>37</v>
      </c>
      <c r="K579">
        <v>900000</v>
      </c>
    </row>
    <row r="580" spans="1:11" x14ac:dyDescent="0.2">
      <c r="A580" s="2" t="s">
        <v>617</v>
      </c>
      <c r="B580" s="3">
        <v>45696</v>
      </c>
      <c r="C580" s="10" t="s">
        <v>15</v>
      </c>
      <c r="D580" s="10" t="s">
        <v>16</v>
      </c>
      <c r="E580" s="1" t="s">
        <v>36</v>
      </c>
      <c r="F580" s="1" t="s">
        <v>32</v>
      </c>
      <c r="G580">
        <v>225000</v>
      </c>
      <c r="H580" s="1">
        <v>2</v>
      </c>
      <c r="I580" s="1" t="s">
        <v>39</v>
      </c>
      <c r="J580" s="1" t="s">
        <v>29</v>
      </c>
      <c r="K580">
        <v>450000</v>
      </c>
    </row>
    <row r="581" spans="1:11" x14ac:dyDescent="0.2">
      <c r="A581" s="2" t="s">
        <v>618</v>
      </c>
      <c r="B581" s="3">
        <v>45816</v>
      </c>
      <c r="C581" s="10" t="s">
        <v>17</v>
      </c>
      <c r="D581" s="10" t="s">
        <v>18</v>
      </c>
      <c r="E581" s="1" t="s">
        <v>31</v>
      </c>
      <c r="F581" s="1" t="s">
        <v>60</v>
      </c>
      <c r="G581">
        <v>300000</v>
      </c>
      <c r="H581" s="1">
        <v>3</v>
      </c>
      <c r="I581" s="1" t="s">
        <v>39</v>
      </c>
      <c r="J581" s="1" t="s">
        <v>37</v>
      </c>
      <c r="K581">
        <v>900000</v>
      </c>
    </row>
    <row r="582" spans="1:11" x14ac:dyDescent="0.2">
      <c r="A582" s="2" t="s">
        <v>619</v>
      </c>
      <c r="B582" s="3">
        <v>45702</v>
      </c>
      <c r="C582" s="10" t="s">
        <v>19</v>
      </c>
      <c r="D582" s="10" t="s">
        <v>20</v>
      </c>
      <c r="E582" s="1" t="s">
        <v>26</v>
      </c>
      <c r="F582" s="1" t="s">
        <v>45</v>
      </c>
      <c r="G582">
        <v>250000</v>
      </c>
      <c r="H582" s="1">
        <v>2</v>
      </c>
      <c r="I582" s="1" t="s">
        <v>39</v>
      </c>
      <c r="J582" s="1" t="s">
        <v>29</v>
      </c>
      <c r="K582">
        <v>500000</v>
      </c>
    </row>
    <row r="583" spans="1:11" x14ac:dyDescent="0.2">
      <c r="A583" s="2" t="s">
        <v>620</v>
      </c>
      <c r="B583" s="3">
        <v>45818</v>
      </c>
      <c r="C583" s="10" t="s">
        <v>17</v>
      </c>
      <c r="D583" s="10" t="s">
        <v>18</v>
      </c>
      <c r="E583" s="1" t="s">
        <v>26</v>
      </c>
      <c r="F583" s="1" t="s">
        <v>45</v>
      </c>
      <c r="G583">
        <v>300000</v>
      </c>
      <c r="H583" s="1">
        <v>2</v>
      </c>
      <c r="I583" s="1" t="s">
        <v>39</v>
      </c>
      <c r="J583" s="1" t="s">
        <v>29</v>
      </c>
      <c r="K583">
        <v>600000</v>
      </c>
    </row>
    <row r="584" spans="1:11" x14ac:dyDescent="0.2">
      <c r="A584" s="2" t="s">
        <v>621</v>
      </c>
      <c r="B584" s="3">
        <v>45666</v>
      </c>
      <c r="C584" s="10" t="s">
        <v>11</v>
      </c>
      <c r="D584" s="10" t="s">
        <v>12</v>
      </c>
      <c r="E584" s="1" t="s">
        <v>31</v>
      </c>
      <c r="F584" s="1" t="s">
        <v>27</v>
      </c>
      <c r="G584">
        <v>350000</v>
      </c>
      <c r="H584" s="1">
        <v>1</v>
      </c>
      <c r="I584" s="1" t="s">
        <v>39</v>
      </c>
      <c r="J584" s="1" t="s">
        <v>29</v>
      </c>
      <c r="K584">
        <v>350000</v>
      </c>
    </row>
    <row r="585" spans="1:11" x14ac:dyDescent="0.2">
      <c r="A585" s="2" t="s">
        <v>622</v>
      </c>
      <c r="B585" s="3">
        <v>45690</v>
      </c>
      <c r="C585" s="10" t="s">
        <v>13</v>
      </c>
      <c r="D585" s="10" t="s">
        <v>14</v>
      </c>
      <c r="E585" s="1" t="s">
        <v>26</v>
      </c>
      <c r="F585" s="1" t="s">
        <v>45</v>
      </c>
      <c r="G585">
        <v>275000</v>
      </c>
      <c r="H585" s="1">
        <v>3</v>
      </c>
      <c r="I585" s="1" t="s">
        <v>39</v>
      </c>
      <c r="J585" s="1" t="s">
        <v>37</v>
      </c>
      <c r="K585">
        <v>825000</v>
      </c>
    </row>
    <row r="586" spans="1:11" x14ac:dyDescent="0.2">
      <c r="A586" s="2" t="s">
        <v>623</v>
      </c>
      <c r="B586" s="3">
        <v>45778</v>
      </c>
      <c r="C586" s="10" t="s">
        <v>11</v>
      </c>
      <c r="D586" s="10" t="s">
        <v>12</v>
      </c>
      <c r="E586" s="1" t="s">
        <v>26</v>
      </c>
      <c r="F586" s="1" t="s">
        <v>60</v>
      </c>
      <c r="G586">
        <v>350000</v>
      </c>
      <c r="H586" s="1">
        <v>2</v>
      </c>
      <c r="I586" s="1" t="s">
        <v>28</v>
      </c>
      <c r="J586" s="1" t="s">
        <v>37</v>
      </c>
      <c r="K586">
        <v>700000</v>
      </c>
    </row>
    <row r="587" spans="1:11" x14ac:dyDescent="0.2">
      <c r="A587" s="2" t="s">
        <v>624</v>
      </c>
      <c r="B587" s="3">
        <v>45689</v>
      </c>
      <c r="C587" s="10" t="s">
        <v>23</v>
      </c>
      <c r="D587" s="10" t="s">
        <v>12</v>
      </c>
      <c r="E587" s="1" t="s">
        <v>36</v>
      </c>
      <c r="F587" s="1" t="s">
        <v>45</v>
      </c>
      <c r="G587">
        <v>375000</v>
      </c>
      <c r="H587" s="1">
        <v>3</v>
      </c>
      <c r="I587" s="1" t="s">
        <v>28</v>
      </c>
      <c r="J587" s="1" t="s">
        <v>37</v>
      </c>
      <c r="K587">
        <v>1125000</v>
      </c>
    </row>
    <row r="588" spans="1:11" x14ac:dyDescent="0.2">
      <c r="A588" s="2" t="s">
        <v>625</v>
      </c>
      <c r="B588" s="3">
        <v>45778</v>
      </c>
      <c r="C588" s="10" t="s">
        <v>13</v>
      </c>
      <c r="D588" s="10" t="s">
        <v>14</v>
      </c>
      <c r="E588" s="1" t="s">
        <v>47</v>
      </c>
      <c r="F588" s="1" t="s">
        <v>60</v>
      </c>
      <c r="G588">
        <v>275000</v>
      </c>
      <c r="H588" s="1">
        <v>1</v>
      </c>
      <c r="I588" s="1" t="s">
        <v>28</v>
      </c>
      <c r="J588" s="1" t="s">
        <v>29</v>
      </c>
      <c r="K588">
        <v>275000</v>
      </c>
    </row>
    <row r="589" spans="1:11" x14ac:dyDescent="0.2">
      <c r="A589" s="2" t="s">
        <v>626</v>
      </c>
      <c r="B589" s="3">
        <v>45770</v>
      </c>
      <c r="C589" s="10" t="s">
        <v>13</v>
      </c>
      <c r="D589" s="10" t="s">
        <v>14</v>
      </c>
      <c r="E589" s="1" t="s">
        <v>47</v>
      </c>
      <c r="F589" s="1" t="s">
        <v>32</v>
      </c>
      <c r="G589">
        <v>275000</v>
      </c>
      <c r="H589" s="1">
        <v>3</v>
      </c>
      <c r="I589" s="1" t="s">
        <v>28</v>
      </c>
      <c r="J589" s="1" t="s">
        <v>29</v>
      </c>
      <c r="K589">
        <v>825000</v>
      </c>
    </row>
    <row r="590" spans="1:11" x14ac:dyDescent="0.2">
      <c r="A590" s="2" t="s">
        <v>627</v>
      </c>
      <c r="B590" s="3">
        <v>45671</v>
      </c>
      <c r="C590" s="10" t="s">
        <v>23</v>
      </c>
      <c r="D590" s="10" t="s">
        <v>12</v>
      </c>
      <c r="E590" s="1" t="s">
        <v>47</v>
      </c>
      <c r="F590" s="1" t="s">
        <v>32</v>
      </c>
      <c r="G590">
        <v>375000</v>
      </c>
      <c r="H590" s="1">
        <v>3</v>
      </c>
      <c r="I590" s="1" t="s">
        <v>39</v>
      </c>
      <c r="J590" s="1" t="s">
        <v>29</v>
      </c>
      <c r="K590">
        <v>1125000</v>
      </c>
    </row>
    <row r="591" spans="1:11" x14ac:dyDescent="0.2">
      <c r="A591" s="2" t="s">
        <v>628</v>
      </c>
      <c r="B591" s="3">
        <v>45744</v>
      </c>
      <c r="C591" s="10" t="s">
        <v>13</v>
      </c>
      <c r="D591" s="10" t="s">
        <v>14</v>
      </c>
      <c r="E591" s="1" t="s">
        <v>47</v>
      </c>
      <c r="F591" s="1" t="s">
        <v>34</v>
      </c>
      <c r="G591">
        <v>275000</v>
      </c>
      <c r="H591" s="1">
        <v>2</v>
      </c>
      <c r="I591" s="1" t="s">
        <v>28</v>
      </c>
      <c r="J591" s="1" t="s">
        <v>29</v>
      </c>
      <c r="K591">
        <v>550000</v>
      </c>
    </row>
    <row r="592" spans="1:11" x14ac:dyDescent="0.2">
      <c r="A592" s="2" t="s">
        <v>629</v>
      </c>
      <c r="B592" s="3">
        <v>45790</v>
      </c>
      <c r="C592" s="10" t="s">
        <v>21</v>
      </c>
      <c r="D592" s="10" t="s">
        <v>22</v>
      </c>
      <c r="E592" s="1" t="s">
        <v>31</v>
      </c>
      <c r="F592" s="1" t="s">
        <v>34</v>
      </c>
      <c r="G592">
        <v>75000</v>
      </c>
      <c r="H592" s="1">
        <v>3</v>
      </c>
      <c r="I592" s="1" t="s">
        <v>39</v>
      </c>
      <c r="J592" s="1" t="s">
        <v>37</v>
      </c>
      <c r="K592">
        <v>225000</v>
      </c>
    </row>
    <row r="593" spans="1:11" x14ac:dyDescent="0.2">
      <c r="A593" s="2" t="s">
        <v>630</v>
      </c>
      <c r="B593" s="3">
        <v>45790</v>
      </c>
      <c r="C593" s="10" t="s">
        <v>21</v>
      </c>
      <c r="D593" s="10" t="s">
        <v>22</v>
      </c>
      <c r="E593" s="1" t="s">
        <v>47</v>
      </c>
      <c r="F593" s="1" t="s">
        <v>45</v>
      </c>
      <c r="G593">
        <v>75000</v>
      </c>
      <c r="H593" s="1">
        <v>1</v>
      </c>
      <c r="I593" s="1" t="s">
        <v>39</v>
      </c>
      <c r="J593" s="1" t="s">
        <v>37</v>
      </c>
      <c r="K593">
        <v>75000</v>
      </c>
    </row>
    <row r="594" spans="1:11" x14ac:dyDescent="0.2">
      <c r="A594" s="2" t="s">
        <v>631</v>
      </c>
      <c r="B594" s="3">
        <v>45785</v>
      </c>
      <c r="C594" s="10" t="s">
        <v>23</v>
      </c>
      <c r="D594" s="10" t="s">
        <v>12</v>
      </c>
      <c r="E594" s="1" t="s">
        <v>47</v>
      </c>
      <c r="F594" s="1" t="s">
        <v>27</v>
      </c>
      <c r="G594">
        <v>375000</v>
      </c>
      <c r="H594" s="1">
        <v>2</v>
      </c>
      <c r="I594" s="1" t="s">
        <v>28</v>
      </c>
      <c r="J594" s="1" t="s">
        <v>29</v>
      </c>
      <c r="K594">
        <v>750000</v>
      </c>
    </row>
    <row r="595" spans="1:11" x14ac:dyDescent="0.2">
      <c r="A595" s="2" t="s">
        <v>632</v>
      </c>
      <c r="B595" s="3">
        <v>45706</v>
      </c>
      <c r="C595" s="10" t="s">
        <v>21</v>
      </c>
      <c r="D595" s="10" t="s">
        <v>22</v>
      </c>
      <c r="E595" s="1" t="s">
        <v>36</v>
      </c>
      <c r="F595" s="1" t="s">
        <v>41</v>
      </c>
      <c r="G595">
        <v>75000</v>
      </c>
      <c r="H595" s="1">
        <v>1</v>
      </c>
      <c r="I595" s="1" t="s">
        <v>28</v>
      </c>
      <c r="J595" s="1" t="s">
        <v>29</v>
      </c>
      <c r="K595">
        <v>75000</v>
      </c>
    </row>
    <row r="596" spans="1:11" x14ac:dyDescent="0.2">
      <c r="A596" s="2" t="s">
        <v>633</v>
      </c>
      <c r="B596" s="3">
        <v>45792</v>
      </c>
      <c r="C596" s="10" t="s">
        <v>19</v>
      </c>
      <c r="D596" s="10" t="s">
        <v>20</v>
      </c>
      <c r="E596" s="1" t="s">
        <v>31</v>
      </c>
      <c r="F596" s="1" t="s">
        <v>27</v>
      </c>
      <c r="G596">
        <v>250000</v>
      </c>
      <c r="H596" s="1">
        <v>3</v>
      </c>
      <c r="I596" s="1" t="s">
        <v>39</v>
      </c>
      <c r="J596" s="1" t="s">
        <v>37</v>
      </c>
      <c r="K596">
        <v>750000</v>
      </c>
    </row>
    <row r="597" spans="1:11" x14ac:dyDescent="0.2">
      <c r="A597" s="2" t="s">
        <v>634</v>
      </c>
      <c r="B597" s="3">
        <v>45673</v>
      </c>
      <c r="C597" s="10" t="s">
        <v>23</v>
      </c>
      <c r="D597" s="10" t="s">
        <v>12</v>
      </c>
      <c r="E597" s="1" t="s">
        <v>47</v>
      </c>
      <c r="F597" s="1" t="s">
        <v>34</v>
      </c>
      <c r="G597">
        <v>375000</v>
      </c>
      <c r="H597" s="1">
        <v>3</v>
      </c>
      <c r="I597" s="1" t="s">
        <v>28</v>
      </c>
      <c r="J597" s="1" t="s">
        <v>29</v>
      </c>
      <c r="K597">
        <v>1125000</v>
      </c>
    </row>
    <row r="598" spans="1:11" x14ac:dyDescent="0.2">
      <c r="A598" s="2" t="s">
        <v>635</v>
      </c>
      <c r="B598" s="3">
        <v>45809</v>
      </c>
      <c r="C598" s="10" t="s">
        <v>23</v>
      </c>
      <c r="D598" s="10" t="s">
        <v>12</v>
      </c>
      <c r="E598" s="1" t="s">
        <v>36</v>
      </c>
      <c r="F598" s="1" t="s">
        <v>34</v>
      </c>
      <c r="G598">
        <v>375000</v>
      </c>
      <c r="H598" s="1">
        <v>3</v>
      </c>
      <c r="I598" s="1" t="s">
        <v>39</v>
      </c>
      <c r="J598" s="1" t="s">
        <v>29</v>
      </c>
      <c r="K598">
        <v>1125000</v>
      </c>
    </row>
    <row r="599" spans="1:11" x14ac:dyDescent="0.2">
      <c r="A599" s="2" t="s">
        <v>636</v>
      </c>
      <c r="B599" s="3">
        <v>45672</v>
      </c>
      <c r="C599" s="10" t="s">
        <v>23</v>
      </c>
      <c r="D599" s="10" t="s">
        <v>12</v>
      </c>
      <c r="E599" s="1" t="s">
        <v>47</v>
      </c>
      <c r="F599" s="1" t="s">
        <v>45</v>
      </c>
      <c r="G599">
        <v>375000</v>
      </c>
      <c r="H599" s="1">
        <v>1</v>
      </c>
      <c r="I599" s="1" t="s">
        <v>28</v>
      </c>
      <c r="J599" s="1" t="s">
        <v>37</v>
      </c>
      <c r="K599">
        <v>375000</v>
      </c>
    </row>
    <row r="600" spans="1:11" x14ac:dyDescent="0.2">
      <c r="A600" s="2" t="s">
        <v>637</v>
      </c>
      <c r="B600" s="3">
        <v>45755</v>
      </c>
      <c r="C600" s="10" t="s">
        <v>17</v>
      </c>
      <c r="D600" s="10" t="s">
        <v>18</v>
      </c>
      <c r="E600" s="1" t="s">
        <v>47</v>
      </c>
      <c r="F600" s="1" t="s">
        <v>60</v>
      </c>
      <c r="G600">
        <v>300000</v>
      </c>
      <c r="H600" s="1">
        <v>3</v>
      </c>
      <c r="I600" s="1" t="s">
        <v>39</v>
      </c>
      <c r="J600" s="1" t="s">
        <v>29</v>
      </c>
      <c r="K600">
        <v>900000</v>
      </c>
    </row>
    <row r="601" spans="1:11" x14ac:dyDescent="0.2">
      <c r="A601" s="2" t="s">
        <v>638</v>
      </c>
      <c r="B601" s="3">
        <v>45820</v>
      </c>
      <c r="C601" s="10" t="s">
        <v>21</v>
      </c>
      <c r="D601" s="10" t="s">
        <v>22</v>
      </c>
      <c r="E601" s="1" t="s">
        <v>36</v>
      </c>
      <c r="F601" s="1" t="s">
        <v>60</v>
      </c>
      <c r="G601">
        <v>75000</v>
      </c>
      <c r="H601" s="1">
        <v>1</v>
      </c>
      <c r="I601" s="1" t="s">
        <v>39</v>
      </c>
      <c r="J601" s="1" t="s">
        <v>29</v>
      </c>
      <c r="K601">
        <v>75000</v>
      </c>
    </row>
    <row r="602" spans="1:11" x14ac:dyDescent="0.2">
      <c r="A602" s="2" t="s">
        <v>639</v>
      </c>
      <c r="B602" s="3">
        <v>45664</v>
      </c>
      <c r="C602" s="10" t="s">
        <v>24</v>
      </c>
      <c r="D602" s="10" t="s">
        <v>16</v>
      </c>
      <c r="E602" s="1" t="s">
        <v>36</v>
      </c>
      <c r="F602" s="1" t="s">
        <v>41</v>
      </c>
      <c r="G602">
        <v>240000</v>
      </c>
      <c r="H602" s="1">
        <v>2</v>
      </c>
      <c r="I602" s="1" t="s">
        <v>39</v>
      </c>
      <c r="J602" s="1" t="s">
        <v>29</v>
      </c>
      <c r="K602">
        <v>480000</v>
      </c>
    </row>
    <row r="603" spans="1:11" x14ac:dyDescent="0.2">
      <c r="A603" s="2" t="s">
        <v>640</v>
      </c>
      <c r="B603" s="3">
        <v>45716</v>
      </c>
      <c r="C603" s="10" t="s">
        <v>13</v>
      </c>
      <c r="D603" s="10" t="s">
        <v>14</v>
      </c>
      <c r="E603" s="1" t="s">
        <v>47</v>
      </c>
      <c r="F603" s="1" t="s">
        <v>34</v>
      </c>
      <c r="G603">
        <v>275000</v>
      </c>
      <c r="H603" s="1">
        <v>1</v>
      </c>
      <c r="I603" s="1" t="s">
        <v>28</v>
      </c>
      <c r="J603" s="1" t="s">
        <v>37</v>
      </c>
      <c r="K603">
        <v>275000</v>
      </c>
    </row>
    <row r="604" spans="1:11" x14ac:dyDescent="0.2">
      <c r="A604" s="2" t="s">
        <v>641</v>
      </c>
      <c r="B604" s="3">
        <v>45784</v>
      </c>
      <c r="C604" s="10" t="s">
        <v>13</v>
      </c>
      <c r="D604" s="10" t="s">
        <v>14</v>
      </c>
      <c r="E604" s="1" t="s">
        <v>26</v>
      </c>
      <c r="F604" s="1" t="s">
        <v>45</v>
      </c>
      <c r="G604">
        <v>275000</v>
      </c>
      <c r="H604" s="1">
        <v>1</v>
      </c>
      <c r="I604" s="1" t="s">
        <v>39</v>
      </c>
      <c r="J604" s="1" t="s">
        <v>37</v>
      </c>
      <c r="K604">
        <v>275000</v>
      </c>
    </row>
    <row r="605" spans="1:11" x14ac:dyDescent="0.2">
      <c r="A605" s="2" t="s">
        <v>642</v>
      </c>
      <c r="B605" s="3">
        <v>45698</v>
      </c>
      <c r="C605" s="10" t="s">
        <v>23</v>
      </c>
      <c r="D605" s="10" t="s">
        <v>12</v>
      </c>
      <c r="E605" s="1" t="s">
        <v>47</v>
      </c>
      <c r="F605" s="1" t="s">
        <v>32</v>
      </c>
      <c r="G605">
        <v>375000</v>
      </c>
      <c r="H605" s="1">
        <v>1</v>
      </c>
      <c r="I605" s="1" t="s">
        <v>28</v>
      </c>
      <c r="J605" s="1" t="s">
        <v>37</v>
      </c>
      <c r="K605">
        <v>375000</v>
      </c>
    </row>
    <row r="606" spans="1:11" x14ac:dyDescent="0.2">
      <c r="A606" s="2" t="s">
        <v>643</v>
      </c>
      <c r="B606" s="3">
        <v>45676</v>
      </c>
      <c r="C606" s="10" t="s">
        <v>13</v>
      </c>
      <c r="D606" s="10" t="s">
        <v>14</v>
      </c>
      <c r="E606" s="1" t="s">
        <v>36</v>
      </c>
      <c r="F606" s="1" t="s">
        <v>45</v>
      </c>
      <c r="G606">
        <v>275000</v>
      </c>
      <c r="H606" s="1">
        <v>3</v>
      </c>
      <c r="I606" s="1" t="s">
        <v>39</v>
      </c>
      <c r="J606" s="1" t="s">
        <v>37</v>
      </c>
      <c r="K606">
        <v>825000</v>
      </c>
    </row>
    <row r="607" spans="1:11" x14ac:dyDescent="0.2">
      <c r="A607" s="2" t="s">
        <v>644</v>
      </c>
      <c r="B607" s="3">
        <v>45762</v>
      </c>
      <c r="C607" s="10" t="s">
        <v>19</v>
      </c>
      <c r="D607" s="10" t="s">
        <v>20</v>
      </c>
      <c r="E607" s="1" t="s">
        <v>36</v>
      </c>
      <c r="F607" s="1" t="s">
        <v>45</v>
      </c>
      <c r="G607">
        <v>250000</v>
      </c>
      <c r="H607" s="1">
        <v>2</v>
      </c>
      <c r="I607" s="1" t="s">
        <v>28</v>
      </c>
      <c r="J607" s="1" t="s">
        <v>29</v>
      </c>
      <c r="K607">
        <v>500000</v>
      </c>
    </row>
    <row r="608" spans="1:11" x14ac:dyDescent="0.2">
      <c r="A608" s="2" t="s">
        <v>645</v>
      </c>
      <c r="B608" s="3">
        <v>45662</v>
      </c>
      <c r="C608" s="10" t="s">
        <v>11</v>
      </c>
      <c r="D608" s="10" t="s">
        <v>12</v>
      </c>
      <c r="E608" s="1" t="s">
        <v>26</v>
      </c>
      <c r="F608" s="1" t="s">
        <v>45</v>
      </c>
      <c r="G608">
        <v>350000</v>
      </c>
      <c r="H608" s="1">
        <v>2</v>
      </c>
      <c r="I608" s="1" t="s">
        <v>28</v>
      </c>
      <c r="J608" s="1" t="s">
        <v>37</v>
      </c>
      <c r="K608">
        <v>700000</v>
      </c>
    </row>
    <row r="609" spans="1:11" x14ac:dyDescent="0.2">
      <c r="A609" s="2" t="s">
        <v>646</v>
      </c>
      <c r="B609" s="3">
        <v>45835</v>
      </c>
      <c r="C609" s="10" t="s">
        <v>13</v>
      </c>
      <c r="D609" s="10" t="s">
        <v>14</v>
      </c>
      <c r="E609" s="1" t="s">
        <v>47</v>
      </c>
      <c r="F609" s="1" t="s">
        <v>34</v>
      </c>
      <c r="G609">
        <v>275000</v>
      </c>
      <c r="H609" s="1">
        <v>3</v>
      </c>
      <c r="I609" s="1" t="s">
        <v>28</v>
      </c>
      <c r="J609" s="1" t="s">
        <v>37</v>
      </c>
      <c r="K609">
        <v>825000</v>
      </c>
    </row>
    <row r="610" spans="1:11" x14ac:dyDescent="0.2">
      <c r="A610" s="2" t="s">
        <v>647</v>
      </c>
      <c r="B610" s="3">
        <v>45775</v>
      </c>
      <c r="C610" s="10" t="s">
        <v>23</v>
      </c>
      <c r="D610" s="10" t="s">
        <v>12</v>
      </c>
      <c r="E610" s="1" t="s">
        <v>26</v>
      </c>
      <c r="F610" s="1" t="s">
        <v>27</v>
      </c>
      <c r="G610">
        <v>375000</v>
      </c>
      <c r="H610" s="1">
        <v>2</v>
      </c>
      <c r="I610" s="1" t="s">
        <v>39</v>
      </c>
      <c r="J610" s="1" t="s">
        <v>37</v>
      </c>
      <c r="K610">
        <v>750000</v>
      </c>
    </row>
    <row r="611" spans="1:11" x14ac:dyDescent="0.2">
      <c r="A611" s="2" t="s">
        <v>648</v>
      </c>
      <c r="B611" s="3">
        <v>45730</v>
      </c>
      <c r="C611" s="10" t="s">
        <v>19</v>
      </c>
      <c r="D611" s="10" t="s">
        <v>20</v>
      </c>
      <c r="E611" s="1" t="s">
        <v>26</v>
      </c>
      <c r="F611" s="1" t="s">
        <v>60</v>
      </c>
      <c r="G611">
        <v>250000</v>
      </c>
      <c r="H611" s="1">
        <v>1</v>
      </c>
      <c r="I611" s="1" t="s">
        <v>28</v>
      </c>
      <c r="J611" s="1" t="s">
        <v>29</v>
      </c>
      <c r="K611">
        <v>250000</v>
      </c>
    </row>
    <row r="612" spans="1:11" x14ac:dyDescent="0.2">
      <c r="A612" s="2" t="s">
        <v>649</v>
      </c>
      <c r="B612" s="3">
        <v>45805</v>
      </c>
      <c r="C612" s="10" t="s">
        <v>19</v>
      </c>
      <c r="D612" s="10" t="s">
        <v>20</v>
      </c>
      <c r="E612" s="1" t="s">
        <v>26</v>
      </c>
      <c r="F612" s="1" t="s">
        <v>27</v>
      </c>
      <c r="G612">
        <v>250000</v>
      </c>
      <c r="H612" s="1">
        <v>3</v>
      </c>
      <c r="I612" s="1" t="s">
        <v>39</v>
      </c>
      <c r="J612" s="1" t="s">
        <v>29</v>
      </c>
      <c r="K612">
        <v>750000</v>
      </c>
    </row>
    <row r="613" spans="1:11" x14ac:dyDescent="0.2">
      <c r="A613" s="2" t="s">
        <v>650</v>
      </c>
      <c r="B613" s="3">
        <v>45783</v>
      </c>
      <c r="C613" s="10" t="s">
        <v>21</v>
      </c>
      <c r="D613" s="10" t="s">
        <v>22</v>
      </c>
      <c r="E613" s="1" t="s">
        <v>47</v>
      </c>
      <c r="F613" s="1" t="s">
        <v>41</v>
      </c>
      <c r="G613">
        <v>75000</v>
      </c>
      <c r="H613" s="1">
        <v>2</v>
      </c>
      <c r="I613" s="1" t="s">
        <v>39</v>
      </c>
      <c r="J613" s="1" t="s">
        <v>37</v>
      </c>
      <c r="K613">
        <v>150000</v>
      </c>
    </row>
    <row r="614" spans="1:11" x14ac:dyDescent="0.2">
      <c r="A614" s="2" t="s">
        <v>651</v>
      </c>
      <c r="B614" s="3">
        <v>45768</v>
      </c>
      <c r="C614" s="10" t="s">
        <v>24</v>
      </c>
      <c r="D614" s="10" t="s">
        <v>16</v>
      </c>
      <c r="E614" s="1" t="s">
        <v>26</v>
      </c>
      <c r="F614" s="1" t="s">
        <v>60</v>
      </c>
      <c r="G614">
        <v>240000</v>
      </c>
      <c r="H614" s="1">
        <v>1</v>
      </c>
      <c r="I614" s="1" t="s">
        <v>28</v>
      </c>
      <c r="J614" s="1" t="s">
        <v>29</v>
      </c>
      <c r="K614">
        <v>240000</v>
      </c>
    </row>
    <row r="615" spans="1:11" x14ac:dyDescent="0.2">
      <c r="A615" s="2" t="s">
        <v>652</v>
      </c>
      <c r="B615" s="3">
        <v>45761</v>
      </c>
      <c r="C615" s="10" t="s">
        <v>11</v>
      </c>
      <c r="D615" s="10" t="s">
        <v>12</v>
      </c>
      <c r="E615" s="1" t="s">
        <v>36</v>
      </c>
      <c r="F615" s="1" t="s">
        <v>32</v>
      </c>
      <c r="G615">
        <v>350000</v>
      </c>
      <c r="H615" s="1">
        <v>2</v>
      </c>
      <c r="I615" s="1" t="s">
        <v>39</v>
      </c>
      <c r="J615" s="1" t="s">
        <v>29</v>
      </c>
      <c r="K615">
        <v>700000</v>
      </c>
    </row>
    <row r="616" spans="1:11" x14ac:dyDescent="0.2">
      <c r="A616" s="2" t="s">
        <v>653</v>
      </c>
      <c r="B616" s="3">
        <v>45789</v>
      </c>
      <c r="C616" s="10" t="s">
        <v>23</v>
      </c>
      <c r="D616" s="10" t="s">
        <v>12</v>
      </c>
      <c r="E616" s="1" t="s">
        <v>26</v>
      </c>
      <c r="F616" s="1" t="s">
        <v>27</v>
      </c>
      <c r="G616">
        <v>375000</v>
      </c>
      <c r="H616" s="1">
        <v>1</v>
      </c>
      <c r="I616" s="1" t="s">
        <v>39</v>
      </c>
      <c r="J616" s="1" t="s">
        <v>37</v>
      </c>
      <c r="K616">
        <v>375000</v>
      </c>
    </row>
    <row r="617" spans="1:11" x14ac:dyDescent="0.2">
      <c r="A617" s="2" t="s">
        <v>654</v>
      </c>
      <c r="B617" s="3">
        <v>45671</v>
      </c>
      <c r="C617" s="10" t="s">
        <v>23</v>
      </c>
      <c r="D617" s="10" t="s">
        <v>12</v>
      </c>
      <c r="E617" s="1" t="s">
        <v>36</v>
      </c>
      <c r="F617" s="1" t="s">
        <v>45</v>
      </c>
      <c r="G617">
        <v>375000</v>
      </c>
      <c r="H617" s="1">
        <v>1</v>
      </c>
      <c r="I617" s="1" t="s">
        <v>28</v>
      </c>
      <c r="J617" s="1" t="s">
        <v>37</v>
      </c>
      <c r="K617">
        <v>375000</v>
      </c>
    </row>
    <row r="618" spans="1:11" x14ac:dyDescent="0.2">
      <c r="A618" s="2" t="s">
        <v>655</v>
      </c>
      <c r="B618" s="3">
        <v>45677</v>
      </c>
      <c r="C618" s="10" t="s">
        <v>17</v>
      </c>
      <c r="D618" s="10" t="s">
        <v>18</v>
      </c>
      <c r="E618" s="1" t="s">
        <v>36</v>
      </c>
      <c r="F618" s="1" t="s">
        <v>45</v>
      </c>
      <c r="G618">
        <v>300000</v>
      </c>
      <c r="H618" s="1">
        <v>1</v>
      </c>
      <c r="I618" s="1" t="s">
        <v>28</v>
      </c>
      <c r="J618" s="1" t="s">
        <v>37</v>
      </c>
      <c r="K618">
        <v>300000</v>
      </c>
    </row>
    <row r="619" spans="1:11" x14ac:dyDescent="0.2">
      <c r="A619" s="2" t="s">
        <v>656</v>
      </c>
      <c r="B619" s="3">
        <v>45720</v>
      </c>
      <c r="C619" s="10" t="s">
        <v>24</v>
      </c>
      <c r="D619" s="10" t="s">
        <v>16</v>
      </c>
      <c r="E619" s="1" t="s">
        <v>26</v>
      </c>
      <c r="F619" s="1" t="s">
        <v>27</v>
      </c>
      <c r="G619">
        <v>240000</v>
      </c>
      <c r="H619" s="1">
        <v>1</v>
      </c>
      <c r="I619" s="1" t="s">
        <v>28</v>
      </c>
      <c r="J619" s="1" t="s">
        <v>37</v>
      </c>
      <c r="K619">
        <v>240000</v>
      </c>
    </row>
    <row r="620" spans="1:11" x14ac:dyDescent="0.2">
      <c r="A620" s="2" t="s">
        <v>657</v>
      </c>
      <c r="B620" s="3">
        <v>45707</v>
      </c>
      <c r="C620" s="10" t="s">
        <v>17</v>
      </c>
      <c r="D620" s="10" t="s">
        <v>18</v>
      </c>
      <c r="E620" s="1" t="s">
        <v>26</v>
      </c>
      <c r="F620" s="1" t="s">
        <v>60</v>
      </c>
      <c r="G620">
        <v>300000</v>
      </c>
      <c r="H620" s="1">
        <v>3</v>
      </c>
      <c r="I620" s="1" t="s">
        <v>28</v>
      </c>
      <c r="J620" s="1" t="s">
        <v>29</v>
      </c>
      <c r="K620">
        <v>900000</v>
      </c>
    </row>
    <row r="621" spans="1:11" x14ac:dyDescent="0.2">
      <c r="A621" s="2" t="s">
        <v>658</v>
      </c>
      <c r="B621" s="3">
        <v>45672</v>
      </c>
      <c r="C621" s="10" t="s">
        <v>15</v>
      </c>
      <c r="D621" s="10" t="s">
        <v>16</v>
      </c>
      <c r="E621" s="1" t="s">
        <v>47</v>
      </c>
      <c r="F621" s="1" t="s">
        <v>32</v>
      </c>
      <c r="G621">
        <v>225000</v>
      </c>
      <c r="H621" s="1">
        <v>2</v>
      </c>
      <c r="I621" s="1" t="s">
        <v>39</v>
      </c>
      <c r="J621" s="1" t="s">
        <v>29</v>
      </c>
      <c r="K621">
        <v>450000</v>
      </c>
    </row>
    <row r="622" spans="1:11" x14ac:dyDescent="0.2">
      <c r="A622" s="2" t="s">
        <v>659</v>
      </c>
      <c r="B622" s="3">
        <v>45750</v>
      </c>
      <c r="C622" s="10" t="s">
        <v>21</v>
      </c>
      <c r="D622" s="10" t="s">
        <v>22</v>
      </c>
      <c r="E622" s="1" t="s">
        <v>47</v>
      </c>
      <c r="F622" s="1" t="s">
        <v>27</v>
      </c>
      <c r="G622">
        <v>75000</v>
      </c>
      <c r="H622" s="1">
        <v>2</v>
      </c>
      <c r="I622" s="1" t="s">
        <v>39</v>
      </c>
      <c r="J622" s="1" t="s">
        <v>37</v>
      </c>
      <c r="K622">
        <v>150000</v>
      </c>
    </row>
    <row r="623" spans="1:11" x14ac:dyDescent="0.2">
      <c r="A623" s="2" t="s">
        <v>660</v>
      </c>
      <c r="B623" s="3">
        <v>45687</v>
      </c>
      <c r="C623" s="10" t="s">
        <v>11</v>
      </c>
      <c r="D623" s="10" t="s">
        <v>12</v>
      </c>
      <c r="E623" s="1" t="s">
        <v>31</v>
      </c>
      <c r="F623" s="1" t="s">
        <v>32</v>
      </c>
      <c r="G623">
        <v>350000</v>
      </c>
      <c r="H623" s="1">
        <v>3</v>
      </c>
      <c r="I623" s="1" t="s">
        <v>28</v>
      </c>
      <c r="J623" s="1" t="s">
        <v>29</v>
      </c>
      <c r="K623">
        <v>1050000</v>
      </c>
    </row>
    <row r="624" spans="1:11" x14ac:dyDescent="0.2">
      <c r="A624" s="2" t="s">
        <v>661</v>
      </c>
      <c r="B624" s="3">
        <v>45661</v>
      </c>
      <c r="C624" s="10" t="s">
        <v>19</v>
      </c>
      <c r="D624" s="10" t="s">
        <v>20</v>
      </c>
      <c r="E624" s="1" t="s">
        <v>31</v>
      </c>
      <c r="F624" s="1" t="s">
        <v>27</v>
      </c>
      <c r="G624">
        <v>250000</v>
      </c>
      <c r="H624" s="1">
        <v>1</v>
      </c>
      <c r="I624" s="1" t="s">
        <v>39</v>
      </c>
      <c r="J624" s="1" t="s">
        <v>29</v>
      </c>
      <c r="K624">
        <v>250000</v>
      </c>
    </row>
    <row r="625" spans="1:11" x14ac:dyDescent="0.2">
      <c r="A625" s="2" t="s">
        <v>662</v>
      </c>
      <c r="B625" s="3">
        <v>45822</v>
      </c>
      <c r="C625" s="10" t="s">
        <v>15</v>
      </c>
      <c r="D625" s="10" t="s">
        <v>16</v>
      </c>
      <c r="E625" s="1" t="s">
        <v>36</v>
      </c>
      <c r="F625" s="1" t="s">
        <v>41</v>
      </c>
      <c r="G625">
        <v>225000</v>
      </c>
      <c r="H625" s="1">
        <v>1</v>
      </c>
      <c r="I625" s="1" t="s">
        <v>28</v>
      </c>
      <c r="J625" s="1" t="s">
        <v>29</v>
      </c>
      <c r="K625">
        <v>225000</v>
      </c>
    </row>
    <row r="626" spans="1:11" x14ac:dyDescent="0.2">
      <c r="A626" s="2" t="s">
        <v>663</v>
      </c>
      <c r="B626" s="3">
        <v>45731</v>
      </c>
      <c r="C626" s="10" t="s">
        <v>21</v>
      </c>
      <c r="D626" s="10" t="s">
        <v>22</v>
      </c>
      <c r="E626" s="1" t="s">
        <v>26</v>
      </c>
      <c r="F626" s="1" t="s">
        <v>32</v>
      </c>
      <c r="G626">
        <v>75000</v>
      </c>
      <c r="H626" s="1">
        <v>1</v>
      </c>
      <c r="I626" s="1" t="s">
        <v>39</v>
      </c>
      <c r="J626" s="1" t="s">
        <v>29</v>
      </c>
      <c r="K626">
        <v>75000</v>
      </c>
    </row>
    <row r="627" spans="1:11" x14ac:dyDescent="0.2">
      <c r="A627" s="2" t="s">
        <v>664</v>
      </c>
      <c r="B627" s="3">
        <v>45803</v>
      </c>
      <c r="C627" s="10" t="s">
        <v>15</v>
      </c>
      <c r="D627" s="10" t="s">
        <v>16</v>
      </c>
      <c r="E627" s="1" t="s">
        <v>36</v>
      </c>
      <c r="F627" s="1" t="s">
        <v>34</v>
      </c>
      <c r="G627">
        <v>225000</v>
      </c>
      <c r="H627" s="1">
        <v>1</v>
      </c>
      <c r="I627" s="1" t="s">
        <v>39</v>
      </c>
      <c r="J627" s="1" t="s">
        <v>29</v>
      </c>
      <c r="K627">
        <v>225000</v>
      </c>
    </row>
    <row r="628" spans="1:11" x14ac:dyDescent="0.2">
      <c r="A628" s="2" t="s">
        <v>665</v>
      </c>
      <c r="B628" s="3">
        <v>45800</v>
      </c>
      <c r="C628" s="10" t="s">
        <v>19</v>
      </c>
      <c r="D628" s="10" t="s">
        <v>20</v>
      </c>
      <c r="E628" s="1" t="s">
        <v>47</v>
      </c>
      <c r="F628" s="1" t="s">
        <v>34</v>
      </c>
      <c r="G628">
        <v>250000</v>
      </c>
      <c r="H628" s="1">
        <v>1</v>
      </c>
      <c r="I628" s="1" t="s">
        <v>39</v>
      </c>
      <c r="J628" s="1" t="s">
        <v>37</v>
      </c>
      <c r="K628">
        <v>250000</v>
      </c>
    </row>
    <row r="629" spans="1:11" x14ac:dyDescent="0.2">
      <c r="A629" s="2" t="s">
        <v>666</v>
      </c>
      <c r="B629" s="3">
        <v>45672</v>
      </c>
      <c r="C629" s="10" t="s">
        <v>13</v>
      </c>
      <c r="D629" s="10" t="s">
        <v>14</v>
      </c>
      <c r="E629" s="1" t="s">
        <v>47</v>
      </c>
      <c r="F629" s="1" t="s">
        <v>32</v>
      </c>
      <c r="G629">
        <v>275000</v>
      </c>
      <c r="H629" s="1">
        <v>1</v>
      </c>
      <c r="I629" s="1" t="s">
        <v>28</v>
      </c>
      <c r="J629" s="1" t="s">
        <v>29</v>
      </c>
      <c r="K629">
        <v>275000</v>
      </c>
    </row>
    <row r="630" spans="1:11" x14ac:dyDescent="0.2">
      <c r="A630" s="2" t="s">
        <v>667</v>
      </c>
      <c r="B630" s="3">
        <v>45786</v>
      </c>
      <c r="C630" s="10" t="s">
        <v>24</v>
      </c>
      <c r="D630" s="10" t="s">
        <v>16</v>
      </c>
      <c r="E630" s="1" t="s">
        <v>47</v>
      </c>
      <c r="F630" s="1" t="s">
        <v>27</v>
      </c>
      <c r="G630">
        <v>240000</v>
      </c>
      <c r="H630" s="1">
        <v>3</v>
      </c>
      <c r="I630" s="1" t="s">
        <v>28</v>
      </c>
      <c r="J630" s="1" t="s">
        <v>29</v>
      </c>
      <c r="K630">
        <v>720000</v>
      </c>
    </row>
    <row r="631" spans="1:11" x14ac:dyDescent="0.2">
      <c r="A631" s="2" t="s">
        <v>668</v>
      </c>
      <c r="B631" s="3">
        <v>45794</v>
      </c>
      <c r="C631" s="10" t="s">
        <v>23</v>
      </c>
      <c r="D631" s="10" t="s">
        <v>12</v>
      </c>
      <c r="E631" s="1" t="s">
        <v>36</v>
      </c>
      <c r="F631" s="1" t="s">
        <v>32</v>
      </c>
      <c r="G631">
        <v>375000</v>
      </c>
      <c r="H631" s="1">
        <v>1</v>
      </c>
      <c r="I631" s="1" t="s">
        <v>39</v>
      </c>
      <c r="J631" s="1" t="s">
        <v>37</v>
      </c>
      <c r="K631">
        <v>375000</v>
      </c>
    </row>
    <row r="632" spans="1:11" x14ac:dyDescent="0.2">
      <c r="A632" s="2" t="s">
        <v>669</v>
      </c>
      <c r="B632" s="3">
        <v>45800</v>
      </c>
      <c r="C632" s="10" t="s">
        <v>19</v>
      </c>
      <c r="D632" s="10" t="s">
        <v>20</v>
      </c>
      <c r="E632" s="1" t="s">
        <v>47</v>
      </c>
      <c r="F632" s="1" t="s">
        <v>32</v>
      </c>
      <c r="G632">
        <v>250000</v>
      </c>
      <c r="H632" s="1">
        <v>3</v>
      </c>
      <c r="I632" s="1" t="s">
        <v>28</v>
      </c>
      <c r="J632" s="1" t="s">
        <v>29</v>
      </c>
      <c r="K632">
        <v>750000</v>
      </c>
    </row>
    <row r="633" spans="1:11" x14ac:dyDescent="0.2">
      <c r="A633" s="2" t="s">
        <v>670</v>
      </c>
      <c r="B633" s="3">
        <v>45834</v>
      </c>
      <c r="C633" s="10" t="s">
        <v>19</v>
      </c>
      <c r="D633" s="10" t="s">
        <v>20</v>
      </c>
      <c r="E633" s="1" t="s">
        <v>47</v>
      </c>
      <c r="F633" s="1" t="s">
        <v>41</v>
      </c>
      <c r="G633">
        <v>250000</v>
      </c>
      <c r="H633" s="1">
        <v>3</v>
      </c>
      <c r="I633" s="1" t="s">
        <v>28</v>
      </c>
      <c r="J633" s="1" t="s">
        <v>29</v>
      </c>
      <c r="K633">
        <v>750000</v>
      </c>
    </row>
    <row r="634" spans="1:11" x14ac:dyDescent="0.2">
      <c r="A634" s="2" t="s">
        <v>671</v>
      </c>
      <c r="B634" s="3">
        <v>45675</v>
      </c>
      <c r="C634" s="10" t="s">
        <v>11</v>
      </c>
      <c r="D634" s="10" t="s">
        <v>12</v>
      </c>
      <c r="E634" s="1" t="s">
        <v>26</v>
      </c>
      <c r="F634" s="1" t="s">
        <v>27</v>
      </c>
      <c r="G634">
        <v>350000</v>
      </c>
      <c r="H634" s="1">
        <v>1</v>
      </c>
      <c r="I634" s="1" t="s">
        <v>28</v>
      </c>
      <c r="J634" s="1" t="s">
        <v>29</v>
      </c>
      <c r="K634">
        <v>350000</v>
      </c>
    </row>
    <row r="635" spans="1:11" x14ac:dyDescent="0.2">
      <c r="A635" s="2" t="s">
        <v>672</v>
      </c>
      <c r="B635" s="3">
        <v>45684</v>
      </c>
      <c r="C635" s="10" t="s">
        <v>21</v>
      </c>
      <c r="D635" s="10" t="s">
        <v>22</v>
      </c>
      <c r="E635" s="1" t="s">
        <v>31</v>
      </c>
      <c r="F635" s="1" t="s">
        <v>60</v>
      </c>
      <c r="G635">
        <v>75000</v>
      </c>
      <c r="H635" s="1">
        <v>1</v>
      </c>
      <c r="I635" s="1" t="s">
        <v>39</v>
      </c>
      <c r="J635" s="1" t="s">
        <v>29</v>
      </c>
      <c r="K635">
        <v>75000</v>
      </c>
    </row>
    <row r="636" spans="1:11" x14ac:dyDescent="0.2">
      <c r="A636" s="2" t="s">
        <v>673</v>
      </c>
      <c r="B636" s="3">
        <v>45682</v>
      </c>
      <c r="C636" s="10" t="s">
        <v>17</v>
      </c>
      <c r="D636" s="10" t="s">
        <v>18</v>
      </c>
      <c r="E636" s="1" t="s">
        <v>26</v>
      </c>
      <c r="F636" s="1" t="s">
        <v>34</v>
      </c>
      <c r="G636">
        <v>300000</v>
      </c>
      <c r="H636" s="1">
        <v>3</v>
      </c>
      <c r="I636" s="1" t="s">
        <v>39</v>
      </c>
      <c r="J636" s="1" t="s">
        <v>29</v>
      </c>
      <c r="K636">
        <v>900000</v>
      </c>
    </row>
    <row r="637" spans="1:11" x14ac:dyDescent="0.2">
      <c r="A637" s="2" t="s">
        <v>674</v>
      </c>
      <c r="B637" s="3">
        <v>45827</v>
      </c>
      <c r="C637" s="10" t="s">
        <v>23</v>
      </c>
      <c r="D637" s="10" t="s">
        <v>12</v>
      </c>
      <c r="E637" s="1" t="s">
        <v>26</v>
      </c>
      <c r="F637" s="1" t="s">
        <v>45</v>
      </c>
      <c r="G637">
        <v>375000</v>
      </c>
      <c r="H637" s="1">
        <v>1</v>
      </c>
      <c r="I637" s="1" t="s">
        <v>39</v>
      </c>
      <c r="J637" s="1" t="s">
        <v>29</v>
      </c>
      <c r="K637">
        <v>375000</v>
      </c>
    </row>
    <row r="638" spans="1:11" x14ac:dyDescent="0.2">
      <c r="A638" s="2" t="s">
        <v>675</v>
      </c>
      <c r="B638" s="3">
        <v>45675</v>
      </c>
      <c r="C638" s="10" t="s">
        <v>17</v>
      </c>
      <c r="D638" s="10" t="s">
        <v>18</v>
      </c>
      <c r="E638" s="1" t="s">
        <v>31</v>
      </c>
      <c r="F638" s="1" t="s">
        <v>32</v>
      </c>
      <c r="G638">
        <v>300000</v>
      </c>
      <c r="H638" s="1">
        <v>1</v>
      </c>
      <c r="I638" s="1" t="s">
        <v>28</v>
      </c>
      <c r="J638" s="1" t="s">
        <v>37</v>
      </c>
      <c r="K638">
        <v>300000</v>
      </c>
    </row>
    <row r="639" spans="1:11" x14ac:dyDescent="0.2">
      <c r="A639" s="2" t="s">
        <v>676</v>
      </c>
      <c r="B639" s="3">
        <v>45685</v>
      </c>
      <c r="C639" s="10" t="s">
        <v>19</v>
      </c>
      <c r="D639" s="10" t="s">
        <v>20</v>
      </c>
      <c r="E639" s="1" t="s">
        <v>31</v>
      </c>
      <c r="F639" s="1" t="s">
        <v>60</v>
      </c>
      <c r="G639">
        <v>250000</v>
      </c>
      <c r="H639" s="1">
        <v>2</v>
      </c>
      <c r="I639" s="1" t="s">
        <v>39</v>
      </c>
      <c r="J639" s="1" t="s">
        <v>29</v>
      </c>
      <c r="K639">
        <v>500000</v>
      </c>
    </row>
    <row r="640" spans="1:11" x14ac:dyDescent="0.2">
      <c r="A640" s="2" t="s">
        <v>677</v>
      </c>
      <c r="B640" s="3">
        <v>45710</v>
      </c>
      <c r="C640" s="10" t="s">
        <v>15</v>
      </c>
      <c r="D640" s="10" t="s">
        <v>16</v>
      </c>
      <c r="E640" s="1" t="s">
        <v>36</v>
      </c>
      <c r="F640" s="1" t="s">
        <v>32</v>
      </c>
      <c r="G640">
        <v>225000</v>
      </c>
      <c r="H640" s="1">
        <v>1</v>
      </c>
      <c r="I640" s="1" t="s">
        <v>28</v>
      </c>
      <c r="J640" s="1" t="s">
        <v>37</v>
      </c>
      <c r="K640">
        <v>225000</v>
      </c>
    </row>
    <row r="641" spans="1:11" x14ac:dyDescent="0.2">
      <c r="A641" s="2" t="s">
        <v>678</v>
      </c>
      <c r="B641" s="3">
        <v>45660</v>
      </c>
      <c r="C641" s="10" t="s">
        <v>24</v>
      </c>
      <c r="D641" s="10" t="s">
        <v>16</v>
      </c>
      <c r="E641" s="1" t="s">
        <v>47</v>
      </c>
      <c r="F641" s="1" t="s">
        <v>45</v>
      </c>
      <c r="G641">
        <v>240000</v>
      </c>
      <c r="H641" s="1">
        <v>1</v>
      </c>
      <c r="I641" s="1" t="s">
        <v>39</v>
      </c>
      <c r="J641" s="1" t="s">
        <v>37</v>
      </c>
      <c r="K641">
        <v>240000</v>
      </c>
    </row>
    <row r="642" spans="1:11" x14ac:dyDescent="0.2">
      <c r="A642" s="2" t="s">
        <v>679</v>
      </c>
      <c r="B642" s="3">
        <v>45674</v>
      </c>
      <c r="C642" s="10" t="s">
        <v>13</v>
      </c>
      <c r="D642" s="10" t="s">
        <v>14</v>
      </c>
      <c r="E642" s="1" t="s">
        <v>26</v>
      </c>
      <c r="F642" s="1" t="s">
        <v>34</v>
      </c>
      <c r="G642">
        <v>275000</v>
      </c>
      <c r="H642" s="1">
        <v>3</v>
      </c>
      <c r="I642" s="1" t="s">
        <v>39</v>
      </c>
      <c r="J642" s="1" t="s">
        <v>29</v>
      </c>
      <c r="K642">
        <v>825000</v>
      </c>
    </row>
    <row r="643" spans="1:11" x14ac:dyDescent="0.2">
      <c r="A643" s="2" t="s">
        <v>680</v>
      </c>
      <c r="B643" s="3">
        <v>45824</v>
      </c>
      <c r="C643" s="10" t="s">
        <v>23</v>
      </c>
      <c r="D643" s="10" t="s">
        <v>12</v>
      </c>
      <c r="E643" s="1" t="s">
        <v>31</v>
      </c>
      <c r="F643" s="1" t="s">
        <v>45</v>
      </c>
      <c r="G643">
        <v>375000</v>
      </c>
      <c r="H643" s="1">
        <v>3</v>
      </c>
      <c r="I643" s="1" t="s">
        <v>39</v>
      </c>
      <c r="J643" s="1" t="s">
        <v>29</v>
      </c>
      <c r="K643">
        <v>1125000</v>
      </c>
    </row>
    <row r="644" spans="1:11" x14ac:dyDescent="0.2">
      <c r="A644" s="2" t="s">
        <v>681</v>
      </c>
      <c r="B644" s="3">
        <v>45807</v>
      </c>
      <c r="C644" s="10" t="s">
        <v>17</v>
      </c>
      <c r="D644" s="10" t="s">
        <v>18</v>
      </c>
      <c r="E644" s="1" t="s">
        <v>26</v>
      </c>
      <c r="F644" s="1" t="s">
        <v>60</v>
      </c>
      <c r="G644">
        <v>300000</v>
      </c>
      <c r="H644" s="1">
        <v>1</v>
      </c>
      <c r="I644" s="1" t="s">
        <v>28</v>
      </c>
      <c r="J644" s="1" t="s">
        <v>37</v>
      </c>
      <c r="K644">
        <v>300000</v>
      </c>
    </row>
    <row r="645" spans="1:11" x14ac:dyDescent="0.2">
      <c r="A645" s="2" t="s">
        <v>682</v>
      </c>
      <c r="B645" s="3">
        <v>45757</v>
      </c>
      <c r="C645" s="10" t="s">
        <v>17</v>
      </c>
      <c r="D645" s="10" t="s">
        <v>18</v>
      </c>
      <c r="E645" s="1" t="s">
        <v>31</v>
      </c>
      <c r="F645" s="1" t="s">
        <v>27</v>
      </c>
      <c r="G645">
        <v>300000</v>
      </c>
      <c r="H645" s="1">
        <v>2</v>
      </c>
      <c r="I645" s="1" t="s">
        <v>28</v>
      </c>
      <c r="J645" s="1" t="s">
        <v>37</v>
      </c>
      <c r="K645">
        <v>600000</v>
      </c>
    </row>
    <row r="646" spans="1:11" x14ac:dyDescent="0.2">
      <c r="A646" s="2" t="s">
        <v>683</v>
      </c>
      <c r="B646" s="3">
        <v>45835</v>
      </c>
      <c r="C646" s="10" t="s">
        <v>21</v>
      </c>
      <c r="D646" s="10" t="s">
        <v>22</v>
      </c>
      <c r="E646" s="1" t="s">
        <v>31</v>
      </c>
      <c r="F646" s="1" t="s">
        <v>34</v>
      </c>
      <c r="G646">
        <v>75000</v>
      </c>
      <c r="H646" s="1">
        <v>3</v>
      </c>
      <c r="I646" s="1" t="s">
        <v>39</v>
      </c>
      <c r="J646" s="1" t="s">
        <v>29</v>
      </c>
      <c r="K646">
        <v>225000</v>
      </c>
    </row>
    <row r="647" spans="1:11" x14ac:dyDescent="0.2">
      <c r="A647" s="2" t="s">
        <v>684</v>
      </c>
      <c r="B647" s="3">
        <v>45831</v>
      </c>
      <c r="C647" s="10" t="s">
        <v>13</v>
      </c>
      <c r="D647" s="10" t="s">
        <v>14</v>
      </c>
      <c r="E647" s="1" t="s">
        <v>36</v>
      </c>
      <c r="F647" s="1" t="s">
        <v>45</v>
      </c>
      <c r="G647">
        <v>275000</v>
      </c>
      <c r="H647" s="1">
        <v>2</v>
      </c>
      <c r="I647" s="1" t="s">
        <v>28</v>
      </c>
      <c r="J647" s="1" t="s">
        <v>29</v>
      </c>
      <c r="K647">
        <v>550000</v>
      </c>
    </row>
    <row r="648" spans="1:11" x14ac:dyDescent="0.2">
      <c r="A648" s="2" t="s">
        <v>685</v>
      </c>
      <c r="B648" s="3">
        <v>45721</v>
      </c>
      <c r="C648" s="10" t="s">
        <v>24</v>
      </c>
      <c r="D648" s="10" t="s">
        <v>16</v>
      </c>
      <c r="E648" s="1" t="s">
        <v>36</v>
      </c>
      <c r="F648" s="1" t="s">
        <v>60</v>
      </c>
      <c r="G648">
        <v>240000</v>
      </c>
      <c r="H648" s="1">
        <v>1</v>
      </c>
      <c r="I648" s="1" t="s">
        <v>39</v>
      </c>
      <c r="J648" s="1" t="s">
        <v>29</v>
      </c>
      <c r="K648">
        <v>240000</v>
      </c>
    </row>
    <row r="649" spans="1:11" x14ac:dyDescent="0.2">
      <c r="A649" s="2" t="s">
        <v>686</v>
      </c>
      <c r="B649" s="3">
        <v>45830</v>
      </c>
      <c r="C649" s="10" t="s">
        <v>13</v>
      </c>
      <c r="D649" s="10" t="s">
        <v>14</v>
      </c>
      <c r="E649" s="1" t="s">
        <v>47</v>
      </c>
      <c r="F649" s="1" t="s">
        <v>34</v>
      </c>
      <c r="G649">
        <v>275000</v>
      </c>
      <c r="H649" s="1">
        <v>1</v>
      </c>
      <c r="I649" s="1" t="s">
        <v>28</v>
      </c>
      <c r="J649" s="1" t="s">
        <v>29</v>
      </c>
      <c r="K649">
        <v>275000</v>
      </c>
    </row>
    <row r="650" spans="1:11" x14ac:dyDescent="0.2">
      <c r="A650" s="2" t="s">
        <v>687</v>
      </c>
      <c r="B650" s="3">
        <v>45682</v>
      </c>
      <c r="C650" s="10" t="s">
        <v>15</v>
      </c>
      <c r="D650" s="10" t="s">
        <v>16</v>
      </c>
      <c r="E650" s="1" t="s">
        <v>26</v>
      </c>
      <c r="F650" s="1" t="s">
        <v>60</v>
      </c>
      <c r="G650">
        <v>225000</v>
      </c>
      <c r="H650" s="1">
        <v>1</v>
      </c>
      <c r="I650" s="1" t="s">
        <v>28</v>
      </c>
      <c r="J650" s="1" t="s">
        <v>37</v>
      </c>
      <c r="K650">
        <v>225000</v>
      </c>
    </row>
    <row r="651" spans="1:11" x14ac:dyDescent="0.2">
      <c r="A651" s="2" t="s">
        <v>688</v>
      </c>
      <c r="B651" s="3">
        <v>45660</v>
      </c>
      <c r="C651" s="10" t="s">
        <v>19</v>
      </c>
      <c r="D651" s="10" t="s">
        <v>20</v>
      </c>
      <c r="E651" s="1" t="s">
        <v>47</v>
      </c>
      <c r="F651" s="1" t="s">
        <v>34</v>
      </c>
      <c r="G651">
        <v>250000</v>
      </c>
      <c r="H651" s="1">
        <v>3</v>
      </c>
      <c r="I651" s="1" t="s">
        <v>28</v>
      </c>
      <c r="J651" s="1" t="s">
        <v>37</v>
      </c>
      <c r="K651">
        <v>750000</v>
      </c>
    </row>
    <row r="652" spans="1:11" x14ac:dyDescent="0.2">
      <c r="A652" s="2" t="s">
        <v>689</v>
      </c>
      <c r="B652" s="3">
        <v>45762</v>
      </c>
      <c r="C652" s="10" t="s">
        <v>21</v>
      </c>
      <c r="D652" s="10" t="s">
        <v>22</v>
      </c>
      <c r="E652" s="1" t="s">
        <v>47</v>
      </c>
      <c r="F652" s="1" t="s">
        <v>60</v>
      </c>
      <c r="G652">
        <v>75000</v>
      </c>
      <c r="H652" s="1">
        <v>1</v>
      </c>
      <c r="I652" s="1" t="s">
        <v>39</v>
      </c>
      <c r="J652" s="1" t="s">
        <v>37</v>
      </c>
      <c r="K652">
        <v>75000</v>
      </c>
    </row>
    <row r="653" spans="1:11" x14ac:dyDescent="0.2">
      <c r="A653" s="2" t="s">
        <v>690</v>
      </c>
      <c r="B653" s="3">
        <v>45708</v>
      </c>
      <c r="C653" s="10" t="s">
        <v>11</v>
      </c>
      <c r="D653" s="10" t="s">
        <v>12</v>
      </c>
      <c r="E653" s="1" t="s">
        <v>31</v>
      </c>
      <c r="F653" s="1" t="s">
        <v>41</v>
      </c>
      <c r="G653">
        <v>350000</v>
      </c>
      <c r="H653" s="1">
        <v>3</v>
      </c>
      <c r="I653" s="1" t="s">
        <v>28</v>
      </c>
      <c r="J653" s="1" t="s">
        <v>29</v>
      </c>
      <c r="K653">
        <v>1050000</v>
      </c>
    </row>
    <row r="654" spans="1:11" x14ac:dyDescent="0.2">
      <c r="A654" s="2" t="s">
        <v>691</v>
      </c>
      <c r="B654" s="3">
        <v>45717</v>
      </c>
      <c r="C654" s="10" t="s">
        <v>17</v>
      </c>
      <c r="D654" s="10" t="s">
        <v>18</v>
      </c>
      <c r="E654" s="1" t="s">
        <v>36</v>
      </c>
      <c r="F654" s="1" t="s">
        <v>60</v>
      </c>
      <c r="G654">
        <v>300000</v>
      </c>
      <c r="H654" s="1">
        <v>2</v>
      </c>
      <c r="I654" s="1" t="s">
        <v>28</v>
      </c>
      <c r="J654" s="1" t="s">
        <v>37</v>
      </c>
      <c r="K654">
        <v>600000</v>
      </c>
    </row>
    <row r="655" spans="1:11" x14ac:dyDescent="0.2">
      <c r="A655" s="2" t="s">
        <v>692</v>
      </c>
      <c r="B655" s="3">
        <v>45821</v>
      </c>
      <c r="C655" s="10" t="s">
        <v>15</v>
      </c>
      <c r="D655" s="10" t="s">
        <v>16</v>
      </c>
      <c r="E655" s="1" t="s">
        <v>36</v>
      </c>
      <c r="F655" s="1" t="s">
        <v>60</v>
      </c>
      <c r="G655">
        <v>225000</v>
      </c>
      <c r="H655" s="1">
        <v>1</v>
      </c>
      <c r="I655" s="1" t="s">
        <v>28</v>
      </c>
      <c r="J655" s="1" t="s">
        <v>37</v>
      </c>
      <c r="K655">
        <v>225000</v>
      </c>
    </row>
    <row r="656" spans="1:11" x14ac:dyDescent="0.2">
      <c r="A656" s="2" t="s">
        <v>693</v>
      </c>
      <c r="B656" s="3">
        <v>45787</v>
      </c>
      <c r="C656" s="10" t="s">
        <v>17</v>
      </c>
      <c r="D656" s="10" t="s">
        <v>18</v>
      </c>
      <c r="E656" s="1" t="s">
        <v>47</v>
      </c>
      <c r="F656" s="1" t="s">
        <v>34</v>
      </c>
      <c r="G656">
        <v>300000</v>
      </c>
      <c r="H656" s="1">
        <v>3</v>
      </c>
      <c r="I656" s="1" t="s">
        <v>28</v>
      </c>
      <c r="J656" s="1" t="s">
        <v>37</v>
      </c>
      <c r="K656">
        <v>900000</v>
      </c>
    </row>
    <row r="657" spans="1:11" x14ac:dyDescent="0.2">
      <c r="A657" s="2" t="s">
        <v>694</v>
      </c>
      <c r="B657" s="3">
        <v>45833</v>
      </c>
      <c r="C657" s="10" t="s">
        <v>19</v>
      </c>
      <c r="D657" s="10" t="s">
        <v>20</v>
      </c>
      <c r="E657" s="1" t="s">
        <v>36</v>
      </c>
      <c r="F657" s="1" t="s">
        <v>60</v>
      </c>
      <c r="G657">
        <v>250000</v>
      </c>
      <c r="H657" s="1">
        <v>1</v>
      </c>
      <c r="I657" s="1" t="s">
        <v>28</v>
      </c>
      <c r="J657" s="1" t="s">
        <v>29</v>
      </c>
      <c r="K657">
        <v>250000</v>
      </c>
    </row>
    <row r="658" spans="1:11" x14ac:dyDescent="0.2">
      <c r="A658" s="2" t="s">
        <v>695</v>
      </c>
      <c r="B658" s="3">
        <v>45774</v>
      </c>
      <c r="C658" s="10" t="s">
        <v>13</v>
      </c>
      <c r="D658" s="10" t="s">
        <v>14</v>
      </c>
      <c r="E658" s="1" t="s">
        <v>26</v>
      </c>
      <c r="F658" s="1" t="s">
        <v>32</v>
      </c>
      <c r="G658">
        <v>275000</v>
      </c>
      <c r="H658" s="1">
        <v>2</v>
      </c>
      <c r="I658" s="1" t="s">
        <v>28</v>
      </c>
      <c r="J658" s="1" t="s">
        <v>29</v>
      </c>
      <c r="K658">
        <v>550000</v>
      </c>
    </row>
    <row r="659" spans="1:11" x14ac:dyDescent="0.2">
      <c r="A659" s="2" t="s">
        <v>696</v>
      </c>
      <c r="B659" s="3">
        <v>45789</v>
      </c>
      <c r="C659" s="10" t="s">
        <v>23</v>
      </c>
      <c r="D659" s="10" t="s">
        <v>12</v>
      </c>
      <c r="E659" s="1" t="s">
        <v>36</v>
      </c>
      <c r="F659" s="1" t="s">
        <v>45</v>
      </c>
      <c r="G659">
        <v>375000</v>
      </c>
      <c r="H659" s="1">
        <v>1</v>
      </c>
      <c r="I659" s="1" t="s">
        <v>39</v>
      </c>
      <c r="J659" s="1" t="s">
        <v>29</v>
      </c>
      <c r="K659">
        <v>375000</v>
      </c>
    </row>
    <row r="660" spans="1:11" x14ac:dyDescent="0.2">
      <c r="A660" s="2" t="s">
        <v>697</v>
      </c>
      <c r="B660" s="3">
        <v>45708</v>
      </c>
      <c r="C660" s="10" t="s">
        <v>19</v>
      </c>
      <c r="D660" s="10" t="s">
        <v>20</v>
      </c>
      <c r="E660" s="1" t="s">
        <v>36</v>
      </c>
      <c r="F660" s="1" t="s">
        <v>45</v>
      </c>
      <c r="G660">
        <v>250000</v>
      </c>
      <c r="H660" s="1">
        <v>3</v>
      </c>
      <c r="I660" s="1" t="s">
        <v>39</v>
      </c>
      <c r="J660" s="1" t="s">
        <v>37</v>
      </c>
      <c r="K660">
        <v>750000</v>
      </c>
    </row>
    <row r="661" spans="1:11" x14ac:dyDescent="0.2">
      <c r="A661" s="2" t="s">
        <v>698</v>
      </c>
      <c r="B661" s="3">
        <v>45752</v>
      </c>
      <c r="C661" s="10" t="s">
        <v>11</v>
      </c>
      <c r="D661" s="10" t="s">
        <v>12</v>
      </c>
      <c r="E661" s="1" t="s">
        <v>47</v>
      </c>
      <c r="F661" s="1" t="s">
        <v>60</v>
      </c>
      <c r="G661">
        <v>350000</v>
      </c>
      <c r="H661" s="1">
        <v>3</v>
      </c>
      <c r="I661" s="1" t="s">
        <v>39</v>
      </c>
      <c r="J661" s="1" t="s">
        <v>29</v>
      </c>
      <c r="K661">
        <v>1050000</v>
      </c>
    </row>
    <row r="662" spans="1:11" x14ac:dyDescent="0.2">
      <c r="A662" s="2" t="s">
        <v>699</v>
      </c>
      <c r="B662" s="3">
        <v>45706</v>
      </c>
      <c r="C662" s="10" t="s">
        <v>17</v>
      </c>
      <c r="D662" s="10" t="s">
        <v>18</v>
      </c>
      <c r="E662" s="1" t="s">
        <v>26</v>
      </c>
      <c r="F662" s="1" t="s">
        <v>34</v>
      </c>
      <c r="G662">
        <v>300000</v>
      </c>
      <c r="H662" s="1">
        <v>3</v>
      </c>
      <c r="I662" s="1" t="s">
        <v>28</v>
      </c>
      <c r="J662" s="1" t="s">
        <v>29</v>
      </c>
      <c r="K662">
        <v>900000</v>
      </c>
    </row>
    <row r="663" spans="1:11" x14ac:dyDescent="0.2">
      <c r="A663" s="2" t="s">
        <v>700</v>
      </c>
      <c r="B663" s="3">
        <v>45729</v>
      </c>
      <c r="C663" s="10" t="s">
        <v>17</v>
      </c>
      <c r="D663" s="10" t="s">
        <v>18</v>
      </c>
      <c r="E663" s="1" t="s">
        <v>26</v>
      </c>
      <c r="F663" s="1" t="s">
        <v>45</v>
      </c>
      <c r="G663">
        <v>300000</v>
      </c>
      <c r="H663" s="1">
        <v>2</v>
      </c>
      <c r="I663" s="1" t="s">
        <v>39</v>
      </c>
      <c r="J663" s="1" t="s">
        <v>37</v>
      </c>
      <c r="K663">
        <v>600000</v>
      </c>
    </row>
    <row r="664" spans="1:11" x14ac:dyDescent="0.2">
      <c r="A664" s="2" t="s">
        <v>701</v>
      </c>
      <c r="B664" s="3">
        <v>45832</v>
      </c>
      <c r="C664" s="10" t="s">
        <v>19</v>
      </c>
      <c r="D664" s="10" t="s">
        <v>20</v>
      </c>
      <c r="E664" s="1" t="s">
        <v>31</v>
      </c>
      <c r="F664" s="1" t="s">
        <v>60</v>
      </c>
      <c r="G664">
        <v>250000</v>
      </c>
      <c r="H664" s="1">
        <v>3</v>
      </c>
      <c r="I664" s="1" t="s">
        <v>28</v>
      </c>
      <c r="J664" s="1" t="s">
        <v>37</v>
      </c>
      <c r="K664">
        <v>750000</v>
      </c>
    </row>
    <row r="665" spans="1:11" x14ac:dyDescent="0.2">
      <c r="A665" s="2" t="s">
        <v>702</v>
      </c>
      <c r="B665" s="3">
        <v>45728</v>
      </c>
      <c r="C665" s="10" t="s">
        <v>17</v>
      </c>
      <c r="D665" s="10" t="s">
        <v>18</v>
      </c>
      <c r="E665" s="1" t="s">
        <v>31</v>
      </c>
      <c r="F665" s="1" t="s">
        <v>41</v>
      </c>
      <c r="G665">
        <v>300000</v>
      </c>
      <c r="H665" s="1">
        <v>1</v>
      </c>
      <c r="I665" s="1" t="s">
        <v>28</v>
      </c>
      <c r="J665" s="1" t="s">
        <v>37</v>
      </c>
      <c r="K665">
        <v>300000</v>
      </c>
    </row>
    <row r="666" spans="1:11" x14ac:dyDescent="0.2">
      <c r="A666" s="2" t="s">
        <v>703</v>
      </c>
      <c r="B666" s="3">
        <v>45666</v>
      </c>
      <c r="C666" s="10" t="s">
        <v>19</v>
      </c>
      <c r="D666" s="10" t="s">
        <v>20</v>
      </c>
      <c r="E666" s="1" t="s">
        <v>26</v>
      </c>
      <c r="F666" s="1" t="s">
        <v>45</v>
      </c>
      <c r="G666">
        <v>250000</v>
      </c>
      <c r="H666" s="1">
        <v>3</v>
      </c>
      <c r="I666" s="1" t="s">
        <v>28</v>
      </c>
      <c r="J666" s="1" t="s">
        <v>29</v>
      </c>
      <c r="K666">
        <v>750000</v>
      </c>
    </row>
    <row r="667" spans="1:11" x14ac:dyDescent="0.2">
      <c r="A667" s="2" t="s">
        <v>704</v>
      </c>
      <c r="B667" s="3">
        <v>45710</v>
      </c>
      <c r="C667" s="10" t="s">
        <v>17</v>
      </c>
      <c r="D667" s="10" t="s">
        <v>18</v>
      </c>
      <c r="E667" s="1" t="s">
        <v>31</v>
      </c>
      <c r="F667" s="1" t="s">
        <v>27</v>
      </c>
      <c r="G667">
        <v>300000</v>
      </c>
      <c r="H667" s="1">
        <v>2</v>
      </c>
      <c r="I667" s="1" t="s">
        <v>39</v>
      </c>
      <c r="J667" s="1" t="s">
        <v>29</v>
      </c>
      <c r="K667">
        <v>600000</v>
      </c>
    </row>
    <row r="668" spans="1:11" x14ac:dyDescent="0.2">
      <c r="A668" s="2" t="s">
        <v>705</v>
      </c>
      <c r="B668" s="3">
        <v>45724</v>
      </c>
      <c r="C668" s="10" t="s">
        <v>24</v>
      </c>
      <c r="D668" s="10" t="s">
        <v>16</v>
      </c>
      <c r="E668" s="1" t="s">
        <v>26</v>
      </c>
      <c r="F668" s="1" t="s">
        <v>34</v>
      </c>
      <c r="G668">
        <v>240000</v>
      </c>
      <c r="H668" s="1">
        <v>3</v>
      </c>
      <c r="I668" s="1" t="s">
        <v>39</v>
      </c>
      <c r="J668" s="1" t="s">
        <v>29</v>
      </c>
      <c r="K668">
        <v>720000</v>
      </c>
    </row>
    <row r="669" spans="1:11" x14ac:dyDescent="0.2">
      <c r="A669" s="2" t="s">
        <v>706</v>
      </c>
      <c r="B669" s="3">
        <v>45678</v>
      </c>
      <c r="C669" s="10" t="s">
        <v>19</v>
      </c>
      <c r="D669" s="10" t="s">
        <v>20</v>
      </c>
      <c r="E669" s="1" t="s">
        <v>47</v>
      </c>
      <c r="F669" s="1" t="s">
        <v>60</v>
      </c>
      <c r="G669">
        <v>250000</v>
      </c>
      <c r="H669" s="1">
        <v>2</v>
      </c>
      <c r="I669" s="1" t="s">
        <v>28</v>
      </c>
      <c r="J669" s="1" t="s">
        <v>37</v>
      </c>
      <c r="K669">
        <v>500000</v>
      </c>
    </row>
    <row r="670" spans="1:11" x14ac:dyDescent="0.2">
      <c r="A670" s="2" t="s">
        <v>707</v>
      </c>
      <c r="B670" s="3">
        <v>45682</v>
      </c>
      <c r="C670" s="10" t="s">
        <v>17</v>
      </c>
      <c r="D670" s="10" t="s">
        <v>18</v>
      </c>
      <c r="E670" s="1" t="s">
        <v>26</v>
      </c>
      <c r="F670" s="1" t="s">
        <v>32</v>
      </c>
      <c r="G670">
        <v>300000</v>
      </c>
      <c r="H670" s="1">
        <v>3</v>
      </c>
      <c r="I670" s="1" t="s">
        <v>39</v>
      </c>
      <c r="J670" s="1" t="s">
        <v>37</v>
      </c>
      <c r="K670">
        <v>900000</v>
      </c>
    </row>
    <row r="671" spans="1:11" x14ac:dyDescent="0.2">
      <c r="A671" s="2" t="s">
        <v>708</v>
      </c>
      <c r="B671" s="3">
        <v>45660</v>
      </c>
      <c r="C671" s="10" t="s">
        <v>17</v>
      </c>
      <c r="D671" s="10" t="s">
        <v>18</v>
      </c>
      <c r="E671" s="1" t="s">
        <v>26</v>
      </c>
      <c r="F671" s="1" t="s">
        <v>27</v>
      </c>
      <c r="G671">
        <v>300000</v>
      </c>
      <c r="H671" s="1">
        <v>1</v>
      </c>
      <c r="I671" s="1" t="s">
        <v>28</v>
      </c>
      <c r="J671" s="1" t="s">
        <v>37</v>
      </c>
      <c r="K671">
        <v>300000</v>
      </c>
    </row>
    <row r="672" spans="1:11" x14ac:dyDescent="0.2">
      <c r="A672" s="2" t="s">
        <v>709</v>
      </c>
      <c r="B672" s="3">
        <v>45745</v>
      </c>
      <c r="C672" s="10" t="s">
        <v>23</v>
      </c>
      <c r="D672" s="10" t="s">
        <v>12</v>
      </c>
      <c r="E672" s="1" t="s">
        <v>36</v>
      </c>
      <c r="F672" s="1" t="s">
        <v>41</v>
      </c>
      <c r="G672">
        <v>375000</v>
      </c>
      <c r="H672" s="1">
        <v>2</v>
      </c>
      <c r="I672" s="1" t="s">
        <v>39</v>
      </c>
      <c r="J672" s="1" t="s">
        <v>37</v>
      </c>
      <c r="K672">
        <v>750000</v>
      </c>
    </row>
    <row r="673" spans="1:11" x14ac:dyDescent="0.2">
      <c r="A673" s="2" t="s">
        <v>710</v>
      </c>
      <c r="B673" s="3">
        <v>45723</v>
      </c>
      <c r="C673" s="10" t="s">
        <v>13</v>
      </c>
      <c r="D673" s="10" t="s">
        <v>14</v>
      </c>
      <c r="E673" s="1" t="s">
        <v>31</v>
      </c>
      <c r="F673" s="1" t="s">
        <v>41</v>
      </c>
      <c r="G673">
        <v>275000</v>
      </c>
      <c r="H673" s="1">
        <v>1</v>
      </c>
      <c r="I673" s="1" t="s">
        <v>28</v>
      </c>
      <c r="J673" s="1" t="s">
        <v>29</v>
      </c>
      <c r="K673">
        <v>275000</v>
      </c>
    </row>
    <row r="674" spans="1:11" x14ac:dyDescent="0.2">
      <c r="A674" s="2" t="s">
        <v>711</v>
      </c>
      <c r="B674" s="3">
        <v>45754</v>
      </c>
      <c r="C674" s="10" t="s">
        <v>23</v>
      </c>
      <c r="D674" s="10" t="s">
        <v>12</v>
      </c>
      <c r="E674" s="1" t="s">
        <v>31</v>
      </c>
      <c r="F674" s="1" t="s">
        <v>45</v>
      </c>
      <c r="G674">
        <v>375000</v>
      </c>
      <c r="H674" s="1">
        <v>2</v>
      </c>
      <c r="I674" s="1" t="s">
        <v>39</v>
      </c>
      <c r="J674" s="1" t="s">
        <v>29</v>
      </c>
      <c r="K674">
        <v>750000</v>
      </c>
    </row>
    <row r="675" spans="1:11" x14ac:dyDescent="0.2">
      <c r="A675" s="2" t="s">
        <v>712</v>
      </c>
      <c r="B675" s="3">
        <v>45700</v>
      </c>
      <c r="C675" s="10" t="s">
        <v>21</v>
      </c>
      <c r="D675" s="10" t="s">
        <v>22</v>
      </c>
      <c r="E675" s="1" t="s">
        <v>26</v>
      </c>
      <c r="F675" s="1" t="s">
        <v>32</v>
      </c>
      <c r="G675">
        <v>75000</v>
      </c>
      <c r="H675" s="1">
        <v>3</v>
      </c>
      <c r="I675" s="1" t="s">
        <v>39</v>
      </c>
      <c r="J675" s="1" t="s">
        <v>37</v>
      </c>
      <c r="K675">
        <v>225000</v>
      </c>
    </row>
    <row r="676" spans="1:11" x14ac:dyDescent="0.2">
      <c r="A676" s="2" t="s">
        <v>713</v>
      </c>
      <c r="B676" s="3">
        <v>45832</v>
      </c>
      <c r="C676" s="10" t="s">
        <v>17</v>
      </c>
      <c r="D676" s="10" t="s">
        <v>18</v>
      </c>
      <c r="E676" s="1" t="s">
        <v>31</v>
      </c>
      <c r="F676" s="1" t="s">
        <v>27</v>
      </c>
      <c r="G676">
        <v>300000</v>
      </c>
      <c r="H676" s="1">
        <v>1</v>
      </c>
      <c r="I676" s="1" t="s">
        <v>39</v>
      </c>
      <c r="J676" s="1" t="s">
        <v>37</v>
      </c>
      <c r="K676">
        <v>300000</v>
      </c>
    </row>
    <row r="677" spans="1:11" x14ac:dyDescent="0.2">
      <c r="A677" s="2" t="s">
        <v>714</v>
      </c>
      <c r="B677" s="3">
        <v>45736</v>
      </c>
      <c r="C677" s="10" t="s">
        <v>21</v>
      </c>
      <c r="D677" s="10" t="s">
        <v>22</v>
      </c>
      <c r="E677" s="1" t="s">
        <v>47</v>
      </c>
      <c r="F677" s="1" t="s">
        <v>34</v>
      </c>
      <c r="G677">
        <v>75000</v>
      </c>
      <c r="H677" s="1">
        <v>1</v>
      </c>
      <c r="I677" s="1" t="s">
        <v>28</v>
      </c>
      <c r="J677" s="1" t="s">
        <v>29</v>
      </c>
      <c r="K677">
        <v>75000</v>
      </c>
    </row>
    <row r="678" spans="1:11" x14ac:dyDescent="0.2">
      <c r="A678" s="2" t="s">
        <v>715</v>
      </c>
      <c r="B678" s="3">
        <v>45833</v>
      </c>
      <c r="C678" s="10" t="s">
        <v>15</v>
      </c>
      <c r="D678" s="10" t="s">
        <v>16</v>
      </c>
      <c r="E678" s="1" t="s">
        <v>47</v>
      </c>
      <c r="F678" s="1" t="s">
        <v>27</v>
      </c>
      <c r="G678">
        <v>225000</v>
      </c>
      <c r="H678" s="1">
        <v>2</v>
      </c>
      <c r="I678" s="1" t="s">
        <v>28</v>
      </c>
      <c r="J678" s="1" t="s">
        <v>29</v>
      </c>
      <c r="K678">
        <v>450000</v>
      </c>
    </row>
    <row r="679" spans="1:11" x14ac:dyDescent="0.2">
      <c r="A679" s="2" t="s">
        <v>716</v>
      </c>
      <c r="B679" s="3">
        <v>45822</v>
      </c>
      <c r="C679" s="10" t="s">
        <v>19</v>
      </c>
      <c r="D679" s="10" t="s">
        <v>20</v>
      </c>
      <c r="E679" s="1" t="s">
        <v>31</v>
      </c>
      <c r="F679" s="1" t="s">
        <v>41</v>
      </c>
      <c r="G679">
        <v>250000</v>
      </c>
      <c r="H679" s="1">
        <v>3</v>
      </c>
      <c r="I679" s="1" t="s">
        <v>39</v>
      </c>
      <c r="J679" s="1" t="s">
        <v>37</v>
      </c>
      <c r="K679">
        <v>750000</v>
      </c>
    </row>
    <row r="680" spans="1:11" x14ac:dyDescent="0.2">
      <c r="A680" s="2" t="s">
        <v>717</v>
      </c>
      <c r="B680" s="3">
        <v>45820</v>
      </c>
      <c r="C680" s="10" t="s">
        <v>21</v>
      </c>
      <c r="D680" s="10" t="s">
        <v>22</v>
      </c>
      <c r="E680" s="1" t="s">
        <v>31</v>
      </c>
      <c r="F680" s="1" t="s">
        <v>45</v>
      </c>
      <c r="G680">
        <v>75000</v>
      </c>
      <c r="H680" s="1">
        <v>2</v>
      </c>
      <c r="I680" s="1" t="s">
        <v>28</v>
      </c>
      <c r="J680" s="1" t="s">
        <v>37</v>
      </c>
      <c r="K680">
        <v>150000</v>
      </c>
    </row>
    <row r="681" spans="1:11" x14ac:dyDescent="0.2">
      <c r="A681" s="2" t="s">
        <v>718</v>
      </c>
      <c r="B681" s="3">
        <v>45698</v>
      </c>
      <c r="C681" s="10" t="s">
        <v>21</v>
      </c>
      <c r="D681" s="10" t="s">
        <v>22</v>
      </c>
      <c r="E681" s="1" t="s">
        <v>26</v>
      </c>
      <c r="F681" s="1" t="s">
        <v>60</v>
      </c>
      <c r="G681">
        <v>75000</v>
      </c>
      <c r="H681" s="1">
        <v>2</v>
      </c>
      <c r="I681" s="1" t="s">
        <v>28</v>
      </c>
      <c r="J681" s="1" t="s">
        <v>37</v>
      </c>
      <c r="K681">
        <v>150000</v>
      </c>
    </row>
    <row r="682" spans="1:11" x14ac:dyDescent="0.2">
      <c r="A682" s="2" t="s">
        <v>719</v>
      </c>
      <c r="B682" s="3">
        <v>45677</v>
      </c>
      <c r="C682" s="10" t="s">
        <v>23</v>
      </c>
      <c r="D682" s="10" t="s">
        <v>12</v>
      </c>
      <c r="E682" s="1" t="s">
        <v>31</v>
      </c>
      <c r="F682" s="1" t="s">
        <v>45</v>
      </c>
      <c r="G682">
        <v>375000</v>
      </c>
      <c r="H682" s="1">
        <v>1</v>
      </c>
      <c r="I682" s="1" t="s">
        <v>28</v>
      </c>
      <c r="J682" s="1" t="s">
        <v>37</v>
      </c>
      <c r="K682">
        <v>375000</v>
      </c>
    </row>
    <row r="683" spans="1:11" x14ac:dyDescent="0.2">
      <c r="A683" s="2" t="s">
        <v>720</v>
      </c>
      <c r="B683" s="3">
        <v>45832</v>
      </c>
      <c r="C683" s="10" t="s">
        <v>23</v>
      </c>
      <c r="D683" s="10" t="s">
        <v>12</v>
      </c>
      <c r="E683" s="1" t="s">
        <v>36</v>
      </c>
      <c r="F683" s="1" t="s">
        <v>27</v>
      </c>
      <c r="G683">
        <v>375000</v>
      </c>
      <c r="H683" s="1">
        <v>3</v>
      </c>
      <c r="I683" s="1" t="s">
        <v>28</v>
      </c>
      <c r="J683" s="1" t="s">
        <v>29</v>
      </c>
      <c r="K683">
        <v>1125000</v>
      </c>
    </row>
    <row r="684" spans="1:11" x14ac:dyDescent="0.2">
      <c r="A684" s="2" t="s">
        <v>721</v>
      </c>
      <c r="B684" s="3">
        <v>45768</v>
      </c>
      <c r="C684" s="10" t="s">
        <v>19</v>
      </c>
      <c r="D684" s="10" t="s">
        <v>20</v>
      </c>
      <c r="E684" s="1" t="s">
        <v>31</v>
      </c>
      <c r="F684" s="1" t="s">
        <v>27</v>
      </c>
      <c r="G684">
        <v>250000</v>
      </c>
      <c r="H684" s="1">
        <v>2</v>
      </c>
      <c r="I684" s="1" t="s">
        <v>39</v>
      </c>
      <c r="J684" s="1" t="s">
        <v>37</v>
      </c>
      <c r="K684">
        <v>500000</v>
      </c>
    </row>
    <row r="685" spans="1:11" x14ac:dyDescent="0.2">
      <c r="A685" s="2" t="s">
        <v>722</v>
      </c>
      <c r="B685" s="3">
        <v>45774</v>
      </c>
      <c r="C685" s="10" t="s">
        <v>17</v>
      </c>
      <c r="D685" s="10" t="s">
        <v>18</v>
      </c>
      <c r="E685" s="1" t="s">
        <v>31</v>
      </c>
      <c r="F685" s="1" t="s">
        <v>60</v>
      </c>
      <c r="G685">
        <v>300000</v>
      </c>
      <c r="H685" s="1">
        <v>3</v>
      </c>
      <c r="I685" s="1" t="s">
        <v>39</v>
      </c>
      <c r="J685" s="1" t="s">
        <v>37</v>
      </c>
      <c r="K685">
        <v>900000</v>
      </c>
    </row>
    <row r="686" spans="1:11" x14ac:dyDescent="0.2">
      <c r="A686" s="2" t="s">
        <v>723</v>
      </c>
      <c r="B686" s="3">
        <v>45684</v>
      </c>
      <c r="C686" s="10" t="s">
        <v>11</v>
      </c>
      <c r="D686" s="10" t="s">
        <v>12</v>
      </c>
      <c r="E686" s="1" t="s">
        <v>36</v>
      </c>
      <c r="F686" s="1" t="s">
        <v>34</v>
      </c>
      <c r="G686">
        <v>350000</v>
      </c>
      <c r="H686" s="1">
        <v>1</v>
      </c>
      <c r="I686" s="1" t="s">
        <v>28</v>
      </c>
      <c r="J686" s="1" t="s">
        <v>37</v>
      </c>
      <c r="K686">
        <v>350000</v>
      </c>
    </row>
    <row r="687" spans="1:11" x14ac:dyDescent="0.2">
      <c r="A687" s="2" t="s">
        <v>724</v>
      </c>
      <c r="B687" s="3">
        <v>45763</v>
      </c>
      <c r="C687" s="10" t="s">
        <v>11</v>
      </c>
      <c r="D687" s="10" t="s">
        <v>12</v>
      </c>
      <c r="E687" s="1" t="s">
        <v>47</v>
      </c>
      <c r="F687" s="1" t="s">
        <v>60</v>
      </c>
      <c r="G687">
        <v>350000</v>
      </c>
      <c r="H687" s="1">
        <v>2</v>
      </c>
      <c r="I687" s="1" t="s">
        <v>28</v>
      </c>
      <c r="J687" s="1" t="s">
        <v>37</v>
      </c>
      <c r="K687">
        <v>700000</v>
      </c>
    </row>
    <row r="688" spans="1:11" x14ac:dyDescent="0.2">
      <c r="A688" s="2" t="s">
        <v>725</v>
      </c>
      <c r="B688" s="3">
        <v>45741</v>
      </c>
      <c r="C688" s="10" t="s">
        <v>17</v>
      </c>
      <c r="D688" s="10" t="s">
        <v>18</v>
      </c>
      <c r="E688" s="1" t="s">
        <v>26</v>
      </c>
      <c r="F688" s="1" t="s">
        <v>45</v>
      </c>
      <c r="G688">
        <v>300000</v>
      </c>
      <c r="H688" s="1">
        <v>1</v>
      </c>
      <c r="I688" s="1" t="s">
        <v>39</v>
      </c>
      <c r="J688" s="1" t="s">
        <v>37</v>
      </c>
      <c r="K688">
        <v>300000</v>
      </c>
    </row>
    <row r="689" spans="1:11" x14ac:dyDescent="0.2">
      <c r="A689" s="2" t="s">
        <v>726</v>
      </c>
      <c r="B689" s="3">
        <v>45729</v>
      </c>
      <c r="C689" s="10" t="s">
        <v>21</v>
      </c>
      <c r="D689" s="10" t="s">
        <v>22</v>
      </c>
      <c r="E689" s="1" t="s">
        <v>36</v>
      </c>
      <c r="F689" s="1" t="s">
        <v>60</v>
      </c>
      <c r="G689">
        <v>75000</v>
      </c>
      <c r="H689" s="1">
        <v>2</v>
      </c>
      <c r="I689" s="1" t="s">
        <v>39</v>
      </c>
      <c r="J689" s="1" t="s">
        <v>29</v>
      </c>
      <c r="K689">
        <v>150000</v>
      </c>
    </row>
    <row r="690" spans="1:11" x14ac:dyDescent="0.2">
      <c r="A690" s="2" t="s">
        <v>727</v>
      </c>
      <c r="B690" s="3">
        <v>45707</v>
      </c>
      <c r="C690" s="10" t="s">
        <v>11</v>
      </c>
      <c r="D690" s="10" t="s">
        <v>12</v>
      </c>
      <c r="E690" s="1" t="s">
        <v>36</v>
      </c>
      <c r="F690" s="1" t="s">
        <v>45</v>
      </c>
      <c r="G690">
        <v>350000</v>
      </c>
      <c r="H690" s="1">
        <v>2</v>
      </c>
      <c r="I690" s="1" t="s">
        <v>39</v>
      </c>
      <c r="J690" s="1" t="s">
        <v>29</v>
      </c>
      <c r="K690">
        <v>700000</v>
      </c>
    </row>
    <row r="691" spans="1:11" x14ac:dyDescent="0.2">
      <c r="A691" s="2" t="s">
        <v>728</v>
      </c>
      <c r="B691" s="3">
        <v>45719</v>
      </c>
      <c r="C691" s="10" t="s">
        <v>19</v>
      </c>
      <c r="D691" s="10" t="s">
        <v>20</v>
      </c>
      <c r="E691" s="1" t="s">
        <v>47</v>
      </c>
      <c r="F691" s="1" t="s">
        <v>27</v>
      </c>
      <c r="G691">
        <v>250000</v>
      </c>
      <c r="H691" s="1">
        <v>1</v>
      </c>
      <c r="I691" s="1" t="s">
        <v>28</v>
      </c>
      <c r="J691" s="1" t="s">
        <v>29</v>
      </c>
      <c r="K691">
        <v>250000</v>
      </c>
    </row>
    <row r="692" spans="1:11" x14ac:dyDescent="0.2">
      <c r="A692" s="2" t="s">
        <v>729</v>
      </c>
      <c r="B692" s="3">
        <v>45723</v>
      </c>
      <c r="C692" s="10" t="s">
        <v>21</v>
      </c>
      <c r="D692" s="10" t="s">
        <v>22</v>
      </c>
      <c r="E692" s="1" t="s">
        <v>36</v>
      </c>
      <c r="F692" s="1" t="s">
        <v>32</v>
      </c>
      <c r="G692">
        <v>75000</v>
      </c>
      <c r="H692" s="1">
        <v>1</v>
      </c>
      <c r="I692" s="1" t="s">
        <v>39</v>
      </c>
      <c r="J692" s="1" t="s">
        <v>37</v>
      </c>
      <c r="K692">
        <v>75000</v>
      </c>
    </row>
    <row r="693" spans="1:11" x14ac:dyDescent="0.2">
      <c r="A693" s="2" t="s">
        <v>730</v>
      </c>
      <c r="B693" s="3">
        <v>45794</v>
      </c>
      <c r="C693" s="10" t="s">
        <v>13</v>
      </c>
      <c r="D693" s="10" t="s">
        <v>14</v>
      </c>
      <c r="E693" s="1" t="s">
        <v>31</v>
      </c>
      <c r="F693" s="1" t="s">
        <v>32</v>
      </c>
      <c r="G693">
        <v>275000</v>
      </c>
      <c r="H693" s="1">
        <v>2</v>
      </c>
      <c r="I693" s="1" t="s">
        <v>39</v>
      </c>
      <c r="J693" s="1" t="s">
        <v>37</v>
      </c>
      <c r="K693">
        <v>550000</v>
      </c>
    </row>
    <row r="694" spans="1:11" x14ac:dyDescent="0.2">
      <c r="A694" s="2" t="s">
        <v>731</v>
      </c>
      <c r="B694" s="3">
        <v>45710</v>
      </c>
      <c r="C694" s="10" t="s">
        <v>23</v>
      </c>
      <c r="D694" s="10" t="s">
        <v>12</v>
      </c>
      <c r="E694" s="1" t="s">
        <v>26</v>
      </c>
      <c r="F694" s="1" t="s">
        <v>45</v>
      </c>
      <c r="G694">
        <v>375000</v>
      </c>
      <c r="H694" s="1">
        <v>2</v>
      </c>
      <c r="I694" s="1" t="s">
        <v>28</v>
      </c>
      <c r="J694" s="1" t="s">
        <v>37</v>
      </c>
      <c r="K694">
        <v>750000</v>
      </c>
    </row>
    <row r="695" spans="1:11" x14ac:dyDescent="0.2">
      <c r="A695" s="2" t="s">
        <v>732</v>
      </c>
      <c r="B695" s="3">
        <v>45753</v>
      </c>
      <c r="C695" s="10" t="s">
        <v>15</v>
      </c>
      <c r="D695" s="10" t="s">
        <v>16</v>
      </c>
      <c r="E695" s="1" t="s">
        <v>31</v>
      </c>
      <c r="F695" s="1" t="s">
        <v>41</v>
      </c>
      <c r="G695">
        <v>225000</v>
      </c>
      <c r="H695" s="1">
        <v>2</v>
      </c>
      <c r="I695" s="1" t="s">
        <v>39</v>
      </c>
      <c r="J695" s="1" t="s">
        <v>29</v>
      </c>
      <c r="K695">
        <v>450000</v>
      </c>
    </row>
    <row r="696" spans="1:11" x14ac:dyDescent="0.2">
      <c r="A696" s="2" t="s">
        <v>733</v>
      </c>
      <c r="B696" s="3">
        <v>45749</v>
      </c>
      <c r="C696" s="10" t="s">
        <v>24</v>
      </c>
      <c r="D696" s="10" t="s">
        <v>16</v>
      </c>
      <c r="E696" s="1" t="s">
        <v>36</v>
      </c>
      <c r="F696" s="1" t="s">
        <v>45</v>
      </c>
      <c r="G696">
        <v>240000</v>
      </c>
      <c r="H696" s="1">
        <v>3</v>
      </c>
      <c r="I696" s="1" t="s">
        <v>28</v>
      </c>
      <c r="J696" s="1" t="s">
        <v>37</v>
      </c>
      <c r="K696">
        <v>720000</v>
      </c>
    </row>
    <row r="697" spans="1:11" x14ac:dyDescent="0.2">
      <c r="A697" s="2" t="s">
        <v>734</v>
      </c>
      <c r="B697" s="3">
        <v>45742</v>
      </c>
      <c r="C697" s="10" t="s">
        <v>11</v>
      </c>
      <c r="D697" s="10" t="s">
        <v>12</v>
      </c>
      <c r="E697" s="1" t="s">
        <v>47</v>
      </c>
      <c r="F697" s="1" t="s">
        <v>45</v>
      </c>
      <c r="G697">
        <v>350000</v>
      </c>
      <c r="H697" s="1">
        <v>1</v>
      </c>
      <c r="I697" s="1" t="s">
        <v>28</v>
      </c>
      <c r="J697" s="1" t="s">
        <v>37</v>
      </c>
      <c r="K697">
        <v>350000</v>
      </c>
    </row>
    <row r="698" spans="1:11" x14ac:dyDescent="0.2">
      <c r="A698" s="2" t="s">
        <v>735</v>
      </c>
      <c r="B698" s="3">
        <v>45756</v>
      </c>
      <c r="C698" s="10" t="s">
        <v>17</v>
      </c>
      <c r="D698" s="10" t="s">
        <v>18</v>
      </c>
      <c r="E698" s="1" t="s">
        <v>26</v>
      </c>
      <c r="F698" s="1" t="s">
        <v>45</v>
      </c>
      <c r="G698">
        <v>300000</v>
      </c>
      <c r="H698" s="1">
        <v>3</v>
      </c>
      <c r="I698" s="1" t="s">
        <v>28</v>
      </c>
      <c r="J698" s="1" t="s">
        <v>37</v>
      </c>
      <c r="K698">
        <v>900000</v>
      </c>
    </row>
    <row r="699" spans="1:11" x14ac:dyDescent="0.2">
      <c r="A699" s="2" t="s">
        <v>736</v>
      </c>
      <c r="B699" s="3">
        <v>45811</v>
      </c>
      <c r="C699" s="10" t="s">
        <v>19</v>
      </c>
      <c r="D699" s="10" t="s">
        <v>20</v>
      </c>
      <c r="E699" s="1" t="s">
        <v>31</v>
      </c>
      <c r="F699" s="1" t="s">
        <v>34</v>
      </c>
      <c r="G699">
        <v>250000</v>
      </c>
      <c r="H699" s="1">
        <v>2</v>
      </c>
      <c r="I699" s="1" t="s">
        <v>28</v>
      </c>
      <c r="J699" s="1" t="s">
        <v>37</v>
      </c>
      <c r="K699">
        <v>500000</v>
      </c>
    </row>
    <row r="700" spans="1:11" x14ac:dyDescent="0.2">
      <c r="A700" s="2" t="s">
        <v>737</v>
      </c>
      <c r="B700" s="3">
        <v>45679</v>
      </c>
      <c r="C700" s="10" t="s">
        <v>19</v>
      </c>
      <c r="D700" s="10" t="s">
        <v>20</v>
      </c>
      <c r="E700" s="1" t="s">
        <v>26</v>
      </c>
      <c r="F700" s="1" t="s">
        <v>45</v>
      </c>
      <c r="G700">
        <v>250000</v>
      </c>
      <c r="H700" s="1">
        <v>1</v>
      </c>
      <c r="I700" s="1" t="s">
        <v>28</v>
      </c>
      <c r="J700" s="1" t="s">
        <v>37</v>
      </c>
      <c r="K700">
        <v>250000</v>
      </c>
    </row>
    <row r="701" spans="1:11" x14ac:dyDescent="0.2">
      <c r="A701" s="2" t="s">
        <v>738</v>
      </c>
      <c r="B701" s="3">
        <v>45661</v>
      </c>
      <c r="C701" s="10" t="s">
        <v>24</v>
      </c>
      <c r="D701" s="10" t="s">
        <v>16</v>
      </c>
      <c r="E701" s="1" t="s">
        <v>26</v>
      </c>
      <c r="F701" s="1" t="s">
        <v>45</v>
      </c>
      <c r="G701">
        <v>240000</v>
      </c>
      <c r="H701" s="1">
        <v>2</v>
      </c>
      <c r="I701" s="1" t="s">
        <v>28</v>
      </c>
      <c r="J701" s="1" t="s">
        <v>29</v>
      </c>
      <c r="K701">
        <v>480000</v>
      </c>
    </row>
    <row r="702" spans="1:11" x14ac:dyDescent="0.2">
      <c r="A702" s="2" t="s">
        <v>739</v>
      </c>
      <c r="B702" s="3">
        <v>45743</v>
      </c>
      <c r="C702" s="10" t="s">
        <v>11</v>
      </c>
      <c r="D702" s="10" t="s">
        <v>12</v>
      </c>
      <c r="E702" s="1" t="s">
        <v>36</v>
      </c>
      <c r="F702" s="1" t="s">
        <v>32</v>
      </c>
      <c r="G702">
        <v>350000</v>
      </c>
      <c r="H702" s="1">
        <v>2</v>
      </c>
      <c r="I702" s="1" t="s">
        <v>28</v>
      </c>
      <c r="J702" s="1" t="s">
        <v>29</v>
      </c>
      <c r="K702">
        <v>700000</v>
      </c>
    </row>
    <row r="703" spans="1:11" x14ac:dyDescent="0.2">
      <c r="A703" s="2" t="s">
        <v>740</v>
      </c>
      <c r="B703" s="3">
        <v>45827</v>
      </c>
      <c r="C703" s="10" t="s">
        <v>13</v>
      </c>
      <c r="D703" s="10" t="s">
        <v>14</v>
      </c>
      <c r="E703" s="1" t="s">
        <v>31</v>
      </c>
      <c r="F703" s="1" t="s">
        <v>60</v>
      </c>
      <c r="G703">
        <v>275000</v>
      </c>
      <c r="H703" s="1">
        <v>1</v>
      </c>
      <c r="I703" s="1" t="s">
        <v>28</v>
      </c>
      <c r="J703" s="1" t="s">
        <v>29</v>
      </c>
      <c r="K703">
        <v>275000</v>
      </c>
    </row>
    <row r="704" spans="1:11" x14ac:dyDescent="0.2">
      <c r="A704" s="2" t="s">
        <v>741</v>
      </c>
      <c r="B704" s="3">
        <v>45665</v>
      </c>
      <c r="C704" s="10" t="s">
        <v>15</v>
      </c>
      <c r="D704" s="10" t="s">
        <v>16</v>
      </c>
      <c r="E704" s="1" t="s">
        <v>31</v>
      </c>
      <c r="F704" s="1" t="s">
        <v>60</v>
      </c>
      <c r="G704">
        <v>225000</v>
      </c>
      <c r="H704" s="1">
        <v>3</v>
      </c>
      <c r="I704" s="1" t="s">
        <v>28</v>
      </c>
      <c r="J704" s="1" t="s">
        <v>37</v>
      </c>
      <c r="K704">
        <v>675000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B4A1F-2FF1-5740-82F3-F8FE1E2CEC3E}">
  <dimension ref="A1:P704"/>
  <sheetViews>
    <sheetView tabSelected="1" zoomScale="107" zoomScaleNormal="100" workbookViewId="0">
      <selection activeCell="J14" sqref="J14"/>
    </sheetView>
  </sheetViews>
  <sheetFormatPr baseColWidth="10" defaultRowHeight="16" x14ac:dyDescent="0.2"/>
  <cols>
    <col min="1" max="1" width="11.83203125" customWidth="1"/>
    <col min="2" max="3" width="16.33203125" customWidth="1"/>
    <col min="6" max="6" width="13.5" customWidth="1"/>
    <col min="9" max="9" width="15.33203125" customWidth="1"/>
    <col min="10" max="10" width="16.33203125" customWidth="1"/>
    <col min="11" max="11" width="13" customWidth="1"/>
    <col min="13" max="13" width="7.6640625" customWidth="1"/>
    <col min="14" max="14" width="34.33203125" style="29" customWidth="1"/>
    <col min="15" max="15" width="35.6640625" customWidth="1"/>
    <col min="16" max="16" width="32.83203125" customWidth="1"/>
  </cols>
  <sheetData>
    <row r="1" spans="1:16" x14ac:dyDescent="0.2">
      <c r="A1" s="11" t="s">
        <v>0</v>
      </c>
      <c r="B1" s="12" t="s">
        <v>1</v>
      </c>
      <c r="C1" s="13" t="s">
        <v>2</v>
      </c>
      <c r="D1" s="14" t="s">
        <v>3</v>
      </c>
      <c r="E1" s="13" t="s">
        <v>4</v>
      </c>
      <c r="F1" s="13" t="s">
        <v>5</v>
      </c>
      <c r="G1" s="13" t="s">
        <v>6</v>
      </c>
      <c r="H1" s="13" t="s">
        <v>7</v>
      </c>
      <c r="I1" s="13" t="s">
        <v>8</v>
      </c>
      <c r="J1" s="13" t="s">
        <v>9</v>
      </c>
      <c r="K1" s="21" t="s">
        <v>10</v>
      </c>
      <c r="N1" s="25" t="s">
        <v>754</v>
      </c>
      <c r="O1" s="26" t="s">
        <v>755</v>
      </c>
      <c r="P1" s="28" t="s">
        <v>756</v>
      </c>
    </row>
    <row r="2" spans="1:16" x14ac:dyDescent="0.2">
      <c r="A2" s="2" t="s">
        <v>25</v>
      </c>
      <c r="B2" s="3">
        <v>45743</v>
      </c>
      <c r="C2" s="10" t="s">
        <v>11</v>
      </c>
      <c r="D2" s="10" t="s">
        <v>12</v>
      </c>
      <c r="E2" s="1" t="s">
        <v>26</v>
      </c>
      <c r="F2" s="1" t="s">
        <v>27</v>
      </c>
      <c r="G2">
        <v>350000</v>
      </c>
      <c r="H2" s="1">
        <v>3</v>
      </c>
      <c r="I2" s="1" t="s">
        <v>28</v>
      </c>
      <c r="J2" s="1" t="s">
        <v>29</v>
      </c>
      <c r="K2" s="15">
        <v>1050000</v>
      </c>
      <c r="N2" s="29">
        <f>G2*H2</f>
        <v>1050000</v>
      </c>
      <c r="O2" s="27">
        <f>SUM(K:K)</f>
        <v>364470000</v>
      </c>
      <c r="P2" s="33">
        <f>SUMIFS(H:H, D:D, "Dress", E:E, "M")</f>
        <v>93</v>
      </c>
    </row>
    <row r="3" spans="1:16" x14ac:dyDescent="0.2">
      <c r="A3" s="2" t="s">
        <v>30</v>
      </c>
      <c r="B3" s="3">
        <v>45794</v>
      </c>
      <c r="C3" s="10" t="s">
        <v>15</v>
      </c>
      <c r="D3" s="10" t="s">
        <v>16</v>
      </c>
      <c r="E3" s="1" t="s">
        <v>31</v>
      </c>
      <c r="F3" s="1" t="s">
        <v>32</v>
      </c>
      <c r="G3">
        <v>225000</v>
      </c>
      <c r="H3" s="1">
        <v>2</v>
      </c>
      <c r="I3" s="1" t="s">
        <v>28</v>
      </c>
      <c r="J3" s="1" t="s">
        <v>29</v>
      </c>
      <c r="K3" s="15">
        <v>450000</v>
      </c>
      <c r="N3" s="29">
        <f t="shared" ref="N3:N66" si="0">G3*H3</f>
        <v>450000</v>
      </c>
    </row>
    <row r="4" spans="1:16" x14ac:dyDescent="0.2">
      <c r="A4" s="2" t="s">
        <v>33</v>
      </c>
      <c r="B4" s="3">
        <v>45693</v>
      </c>
      <c r="C4" s="10" t="s">
        <v>24</v>
      </c>
      <c r="D4" s="10" t="s">
        <v>16</v>
      </c>
      <c r="E4" s="1" t="s">
        <v>26</v>
      </c>
      <c r="F4" s="1" t="s">
        <v>34</v>
      </c>
      <c r="G4">
        <v>240000</v>
      </c>
      <c r="H4" s="1">
        <v>1</v>
      </c>
      <c r="I4" s="1" t="s">
        <v>28</v>
      </c>
      <c r="J4" s="1" t="s">
        <v>29</v>
      </c>
      <c r="K4" s="15">
        <v>240000</v>
      </c>
      <c r="N4" s="29">
        <f t="shared" si="0"/>
        <v>240000</v>
      </c>
      <c r="O4" s="30" t="s">
        <v>757</v>
      </c>
      <c r="P4" s="23" t="s">
        <v>758</v>
      </c>
    </row>
    <row r="5" spans="1:16" x14ac:dyDescent="0.2">
      <c r="A5" s="2" t="s">
        <v>35</v>
      </c>
      <c r="B5" s="3">
        <v>45783</v>
      </c>
      <c r="C5" s="10" t="s">
        <v>17</v>
      </c>
      <c r="D5" s="10" t="s">
        <v>18</v>
      </c>
      <c r="E5" s="1" t="s">
        <v>36</v>
      </c>
      <c r="F5" s="1" t="s">
        <v>32</v>
      </c>
      <c r="G5">
        <v>300000</v>
      </c>
      <c r="H5" s="1">
        <v>3</v>
      </c>
      <c r="I5" s="1" t="s">
        <v>28</v>
      </c>
      <c r="J5" s="1" t="s">
        <v>37</v>
      </c>
      <c r="K5" s="15">
        <v>900000</v>
      </c>
      <c r="N5" s="29">
        <f t="shared" si="0"/>
        <v>900000</v>
      </c>
      <c r="O5" s="32">
        <f>COUNTIFS(J:J, "Returning")</f>
        <v>339</v>
      </c>
      <c r="P5" s="19">
        <f>IF(H2&gt;=3, K2*10%, 0)</f>
        <v>105000</v>
      </c>
    </row>
    <row r="6" spans="1:16" x14ac:dyDescent="0.2">
      <c r="A6" s="2" t="s">
        <v>38</v>
      </c>
      <c r="B6" s="3">
        <v>45763</v>
      </c>
      <c r="C6" s="10" t="s">
        <v>13</v>
      </c>
      <c r="D6" s="10" t="s">
        <v>14</v>
      </c>
      <c r="E6" s="1" t="s">
        <v>31</v>
      </c>
      <c r="F6" s="1" t="s">
        <v>27</v>
      </c>
      <c r="G6">
        <v>275000</v>
      </c>
      <c r="H6" s="1">
        <v>1</v>
      </c>
      <c r="I6" s="1" t="s">
        <v>39</v>
      </c>
      <c r="J6" s="1" t="s">
        <v>29</v>
      </c>
      <c r="K6" s="15">
        <v>275000</v>
      </c>
      <c r="N6" s="29">
        <f t="shared" si="0"/>
        <v>275000</v>
      </c>
      <c r="O6" s="23" t="s">
        <v>760</v>
      </c>
      <c r="P6" s="31" t="s">
        <v>759</v>
      </c>
    </row>
    <row r="7" spans="1:16" x14ac:dyDescent="0.2">
      <c r="A7" s="2" t="s">
        <v>40</v>
      </c>
      <c r="B7" s="3">
        <v>45682</v>
      </c>
      <c r="C7" s="10" t="s">
        <v>17</v>
      </c>
      <c r="D7" s="10" t="s">
        <v>18</v>
      </c>
      <c r="E7" s="1" t="s">
        <v>36</v>
      </c>
      <c r="F7" s="1" t="s">
        <v>41</v>
      </c>
      <c r="G7">
        <v>300000</v>
      </c>
      <c r="H7" s="1">
        <v>2</v>
      </c>
      <c r="I7" s="1" t="s">
        <v>39</v>
      </c>
      <c r="J7" s="1" t="s">
        <v>37</v>
      </c>
      <c r="K7" s="15">
        <v>600000</v>
      </c>
      <c r="N7" s="29">
        <f t="shared" si="0"/>
        <v>600000</v>
      </c>
      <c r="O7" s="24" t="str">
        <f>IF(OR(E2="M",E2="L"),"Best Seller Size","Regular Size")</f>
        <v>Regular Size</v>
      </c>
      <c r="P7" s="31"/>
    </row>
    <row r="8" spans="1:16" x14ac:dyDescent="0.2">
      <c r="A8" s="2" t="s">
        <v>42</v>
      </c>
      <c r="B8" s="3">
        <v>45712</v>
      </c>
      <c r="C8" s="10" t="s">
        <v>23</v>
      </c>
      <c r="D8" s="10" t="s">
        <v>12</v>
      </c>
      <c r="E8" s="1" t="s">
        <v>26</v>
      </c>
      <c r="F8" s="1" t="s">
        <v>32</v>
      </c>
      <c r="G8">
        <v>375000</v>
      </c>
      <c r="H8" s="1">
        <v>1</v>
      </c>
      <c r="I8" s="1" t="s">
        <v>28</v>
      </c>
      <c r="J8" s="1" t="s">
        <v>29</v>
      </c>
      <c r="K8" s="15">
        <v>375000</v>
      </c>
      <c r="N8" s="29">
        <f t="shared" si="0"/>
        <v>375000</v>
      </c>
      <c r="P8" s="31"/>
    </row>
    <row r="9" spans="1:16" x14ac:dyDescent="0.2">
      <c r="A9" s="2" t="s">
        <v>43</v>
      </c>
      <c r="B9" s="3">
        <v>45811</v>
      </c>
      <c r="C9" s="10" t="s">
        <v>15</v>
      </c>
      <c r="D9" s="10" t="s">
        <v>16</v>
      </c>
      <c r="E9" s="1" t="s">
        <v>31</v>
      </c>
      <c r="F9" s="1" t="s">
        <v>34</v>
      </c>
      <c r="G9">
        <v>225000</v>
      </c>
      <c r="H9" s="1">
        <v>3</v>
      </c>
      <c r="I9" s="1" t="s">
        <v>39</v>
      </c>
      <c r="J9" s="1" t="s">
        <v>37</v>
      </c>
      <c r="K9" s="15">
        <v>675000</v>
      </c>
      <c r="N9" s="29">
        <f t="shared" si="0"/>
        <v>675000</v>
      </c>
    </row>
    <row r="10" spans="1:16" x14ac:dyDescent="0.2">
      <c r="A10" s="2" t="s">
        <v>44</v>
      </c>
      <c r="B10" s="3">
        <v>45831</v>
      </c>
      <c r="C10" s="10" t="s">
        <v>24</v>
      </c>
      <c r="D10" s="10" t="s">
        <v>16</v>
      </c>
      <c r="E10" s="1" t="s">
        <v>26</v>
      </c>
      <c r="F10" s="1" t="s">
        <v>45</v>
      </c>
      <c r="G10">
        <v>240000</v>
      </c>
      <c r="H10" s="1">
        <v>2</v>
      </c>
      <c r="I10" s="1" t="s">
        <v>39</v>
      </c>
      <c r="J10" s="1" t="s">
        <v>37</v>
      </c>
      <c r="K10" s="15">
        <v>480000</v>
      </c>
      <c r="N10" s="29">
        <f t="shared" si="0"/>
        <v>480000</v>
      </c>
    </row>
    <row r="11" spans="1:16" x14ac:dyDescent="0.2">
      <c r="A11" s="2" t="s">
        <v>46</v>
      </c>
      <c r="B11" s="3">
        <v>45757</v>
      </c>
      <c r="C11" s="10" t="s">
        <v>23</v>
      </c>
      <c r="D11" s="10" t="s">
        <v>12</v>
      </c>
      <c r="E11" s="1" t="s">
        <v>47</v>
      </c>
      <c r="F11" s="1" t="s">
        <v>41</v>
      </c>
      <c r="G11">
        <v>375000</v>
      </c>
      <c r="H11" s="1">
        <v>1</v>
      </c>
      <c r="I11" s="1" t="s">
        <v>39</v>
      </c>
      <c r="J11" s="1" t="s">
        <v>37</v>
      </c>
      <c r="K11" s="15">
        <v>375000</v>
      </c>
      <c r="N11" s="29">
        <f t="shared" si="0"/>
        <v>375000</v>
      </c>
    </row>
    <row r="12" spans="1:16" x14ac:dyDescent="0.2">
      <c r="A12" s="2" t="s">
        <v>48</v>
      </c>
      <c r="B12" s="3">
        <v>45687</v>
      </c>
      <c r="C12" s="10" t="s">
        <v>24</v>
      </c>
      <c r="D12" s="10" t="s">
        <v>16</v>
      </c>
      <c r="E12" s="1" t="s">
        <v>47</v>
      </c>
      <c r="F12" s="1" t="s">
        <v>27</v>
      </c>
      <c r="G12">
        <v>240000</v>
      </c>
      <c r="H12" s="1">
        <v>2</v>
      </c>
      <c r="I12" s="1" t="s">
        <v>28</v>
      </c>
      <c r="J12" s="1" t="s">
        <v>37</v>
      </c>
      <c r="K12" s="15">
        <v>480000</v>
      </c>
      <c r="N12" s="29">
        <f t="shared" si="0"/>
        <v>480000</v>
      </c>
    </row>
    <row r="13" spans="1:16" x14ac:dyDescent="0.2">
      <c r="A13" s="2" t="s">
        <v>49</v>
      </c>
      <c r="B13" s="3">
        <v>45724</v>
      </c>
      <c r="C13" s="10" t="s">
        <v>17</v>
      </c>
      <c r="D13" s="10" t="s">
        <v>18</v>
      </c>
      <c r="E13" s="1" t="s">
        <v>47</v>
      </c>
      <c r="F13" s="1" t="s">
        <v>45</v>
      </c>
      <c r="G13">
        <v>300000</v>
      </c>
      <c r="H13" s="1">
        <v>2</v>
      </c>
      <c r="I13" s="1" t="s">
        <v>28</v>
      </c>
      <c r="J13" s="1" t="s">
        <v>37</v>
      </c>
      <c r="K13" s="15">
        <v>600000</v>
      </c>
      <c r="N13" s="29">
        <f t="shared" si="0"/>
        <v>600000</v>
      </c>
    </row>
    <row r="14" spans="1:16" x14ac:dyDescent="0.2">
      <c r="A14" s="2" t="s">
        <v>50</v>
      </c>
      <c r="B14" s="3">
        <v>45784</v>
      </c>
      <c r="C14" s="10" t="s">
        <v>13</v>
      </c>
      <c r="D14" s="10" t="s">
        <v>14</v>
      </c>
      <c r="E14" s="1" t="s">
        <v>26</v>
      </c>
      <c r="F14" s="1" t="s">
        <v>27</v>
      </c>
      <c r="G14">
        <v>275000</v>
      </c>
      <c r="H14" s="1">
        <v>2</v>
      </c>
      <c r="I14" s="1" t="s">
        <v>39</v>
      </c>
      <c r="J14" s="1" t="s">
        <v>29</v>
      </c>
      <c r="K14" s="15">
        <v>550000</v>
      </c>
      <c r="N14" s="29">
        <f t="shared" si="0"/>
        <v>550000</v>
      </c>
    </row>
    <row r="15" spans="1:16" x14ac:dyDescent="0.2">
      <c r="A15" s="2" t="s">
        <v>51</v>
      </c>
      <c r="B15" s="3">
        <v>45761</v>
      </c>
      <c r="C15" s="10" t="s">
        <v>17</v>
      </c>
      <c r="D15" s="10" t="s">
        <v>18</v>
      </c>
      <c r="E15" s="1" t="s">
        <v>26</v>
      </c>
      <c r="F15" s="1" t="s">
        <v>45</v>
      </c>
      <c r="G15">
        <v>300000</v>
      </c>
      <c r="H15" s="1">
        <v>1</v>
      </c>
      <c r="I15" s="1" t="s">
        <v>28</v>
      </c>
      <c r="J15" s="1" t="s">
        <v>29</v>
      </c>
      <c r="K15" s="15">
        <v>300000</v>
      </c>
      <c r="N15" s="29">
        <f t="shared" si="0"/>
        <v>300000</v>
      </c>
    </row>
    <row r="16" spans="1:16" x14ac:dyDescent="0.2">
      <c r="A16" s="2" t="s">
        <v>52</v>
      </c>
      <c r="B16" s="3">
        <v>45812</v>
      </c>
      <c r="C16" s="10" t="s">
        <v>19</v>
      </c>
      <c r="D16" s="10" t="s">
        <v>20</v>
      </c>
      <c r="E16" s="1" t="s">
        <v>31</v>
      </c>
      <c r="F16" s="1" t="s">
        <v>41</v>
      </c>
      <c r="G16">
        <v>250000</v>
      </c>
      <c r="H16" s="1">
        <v>3</v>
      </c>
      <c r="I16" s="1" t="s">
        <v>39</v>
      </c>
      <c r="J16" s="1" t="s">
        <v>37</v>
      </c>
      <c r="K16" s="15">
        <v>750000</v>
      </c>
      <c r="N16" s="29">
        <f t="shared" si="0"/>
        <v>750000</v>
      </c>
    </row>
    <row r="17" spans="1:14" x14ac:dyDescent="0.2">
      <c r="A17" s="2" t="s">
        <v>53</v>
      </c>
      <c r="B17" s="3">
        <v>45800</v>
      </c>
      <c r="C17" s="10" t="s">
        <v>17</v>
      </c>
      <c r="D17" s="10" t="s">
        <v>18</v>
      </c>
      <c r="E17" s="1" t="s">
        <v>36</v>
      </c>
      <c r="F17" s="1" t="s">
        <v>27</v>
      </c>
      <c r="G17">
        <v>300000</v>
      </c>
      <c r="H17" s="1">
        <v>3</v>
      </c>
      <c r="I17" s="1" t="s">
        <v>39</v>
      </c>
      <c r="J17" s="1" t="s">
        <v>37</v>
      </c>
      <c r="K17" s="15">
        <v>900000</v>
      </c>
      <c r="N17" s="29">
        <f t="shared" si="0"/>
        <v>900000</v>
      </c>
    </row>
    <row r="18" spans="1:14" x14ac:dyDescent="0.2">
      <c r="A18" s="2" t="s">
        <v>54</v>
      </c>
      <c r="B18" s="3">
        <v>45735</v>
      </c>
      <c r="C18" s="10" t="s">
        <v>24</v>
      </c>
      <c r="D18" s="10" t="s">
        <v>16</v>
      </c>
      <c r="E18" s="1" t="s">
        <v>26</v>
      </c>
      <c r="F18" s="1" t="s">
        <v>32</v>
      </c>
      <c r="G18">
        <v>240000</v>
      </c>
      <c r="H18" s="1">
        <v>3</v>
      </c>
      <c r="I18" s="1" t="s">
        <v>39</v>
      </c>
      <c r="J18" s="1" t="s">
        <v>37</v>
      </c>
      <c r="K18" s="15">
        <v>720000</v>
      </c>
      <c r="N18" s="29">
        <f t="shared" si="0"/>
        <v>720000</v>
      </c>
    </row>
    <row r="19" spans="1:14" x14ac:dyDescent="0.2">
      <c r="A19" s="2" t="s">
        <v>55</v>
      </c>
      <c r="B19" s="3">
        <v>45659</v>
      </c>
      <c r="C19" s="10" t="s">
        <v>13</v>
      </c>
      <c r="D19" s="10" t="s">
        <v>14</v>
      </c>
      <c r="E19" s="1" t="s">
        <v>47</v>
      </c>
      <c r="F19" s="1" t="s">
        <v>41</v>
      </c>
      <c r="G19">
        <v>275000</v>
      </c>
      <c r="H19" s="1">
        <v>2</v>
      </c>
      <c r="I19" s="1" t="s">
        <v>28</v>
      </c>
      <c r="J19" s="1" t="s">
        <v>37</v>
      </c>
      <c r="K19" s="15">
        <v>550000</v>
      </c>
      <c r="N19" s="29">
        <f t="shared" si="0"/>
        <v>550000</v>
      </c>
    </row>
    <row r="20" spans="1:14" x14ac:dyDescent="0.2">
      <c r="A20" s="2" t="s">
        <v>56</v>
      </c>
      <c r="B20" s="3">
        <v>45759</v>
      </c>
      <c r="C20" s="10" t="s">
        <v>21</v>
      </c>
      <c r="D20" s="10" t="s">
        <v>22</v>
      </c>
      <c r="E20" s="1" t="s">
        <v>31</v>
      </c>
      <c r="F20" s="1" t="s">
        <v>27</v>
      </c>
      <c r="G20">
        <v>75000</v>
      </c>
      <c r="H20" s="1">
        <v>3</v>
      </c>
      <c r="I20" s="1" t="s">
        <v>28</v>
      </c>
      <c r="J20" s="1" t="s">
        <v>29</v>
      </c>
      <c r="K20" s="15">
        <v>225000</v>
      </c>
      <c r="N20" s="29">
        <f t="shared" si="0"/>
        <v>225000</v>
      </c>
    </row>
    <row r="21" spans="1:14" x14ac:dyDescent="0.2">
      <c r="A21" s="2" t="s">
        <v>57</v>
      </c>
      <c r="B21" s="3">
        <v>45715</v>
      </c>
      <c r="C21" s="10" t="s">
        <v>19</v>
      </c>
      <c r="D21" s="10" t="s">
        <v>20</v>
      </c>
      <c r="E21" s="1" t="s">
        <v>31</v>
      </c>
      <c r="F21" s="1" t="s">
        <v>34</v>
      </c>
      <c r="G21">
        <v>250000</v>
      </c>
      <c r="H21" s="1">
        <v>1</v>
      </c>
      <c r="I21" s="1" t="s">
        <v>39</v>
      </c>
      <c r="J21" s="1" t="s">
        <v>29</v>
      </c>
      <c r="K21" s="15">
        <v>250000</v>
      </c>
      <c r="N21" s="29">
        <f t="shared" si="0"/>
        <v>250000</v>
      </c>
    </row>
    <row r="22" spans="1:14" x14ac:dyDescent="0.2">
      <c r="A22" s="2" t="s">
        <v>58</v>
      </c>
      <c r="B22" s="3">
        <v>45834</v>
      </c>
      <c r="C22" s="10" t="s">
        <v>19</v>
      </c>
      <c r="D22" s="10" t="s">
        <v>20</v>
      </c>
      <c r="E22" s="1" t="s">
        <v>31</v>
      </c>
      <c r="F22" s="1" t="s">
        <v>32</v>
      </c>
      <c r="G22">
        <v>250000</v>
      </c>
      <c r="H22" s="1">
        <v>2</v>
      </c>
      <c r="I22" s="1" t="s">
        <v>39</v>
      </c>
      <c r="J22" s="1" t="s">
        <v>29</v>
      </c>
      <c r="K22" s="15">
        <v>500000</v>
      </c>
      <c r="N22" s="29">
        <f t="shared" si="0"/>
        <v>500000</v>
      </c>
    </row>
    <row r="23" spans="1:14" x14ac:dyDescent="0.2">
      <c r="A23" s="2" t="s">
        <v>59</v>
      </c>
      <c r="B23" s="3">
        <v>45826</v>
      </c>
      <c r="C23" s="10" t="s">
        <v>24</v>
      </c>
      <c r="D23" s="10" t="s">
        <v>16</v>
      </c>
      <c r="E23" s="1" t="s">
        <v>26</v>
      </c>
      <c r="F23" s="1" t="s">
        <v>60</v>
      </c>
      <c r="G23">
        <v>240000</v>
      </c>
      <c r="H23" s="1">
        <v>2</v>
      </c>
      <c r="I23" s="1" t="s">
        <v>28</v>
      </c>
      <c r="J23" s="1" t="s">
        <v>37</v>
      </c>
      <c r="K23" s="15">
        <v>480000</v>
      </c>
      <c r="N23" s="29">
        <f t="shared" si="0"/>
        <v>480000</v>
      </c>
    </row>
    <row r="24" spans="1:14" x14ac:dyDescent="0.2">
      <c r="A24" s="2" t="s">
        <v>61</v>
      </c>
      <c r="B24" s="3">
        <v>45744</v>
      </c>
      <c r="C24" s="10" t="s">
        <v>15</v>
      </c>
      <c r="D24" s="10" t="s">
        <v>16</v>
      </c>
      <c r="E24" s="1" t="s">
        <v>26</v>
      </c>
      <c r="F24" s="1" t="s">
        <v>27</v>
      </c>
      <c r="G24">
        <v>225000</v>
      </c>
      <c r="H24" s="1">
        <v>3</v>
      </c>
      <c r="I24" s="1" t="s">
        <v>28</v>
      </c>
      <c r="J24" s="1" t="s">
        <v>37</v>
      </c>
      <c r="K24" s="15">
        <v>675000</v>
      </c>
      <c r="N24" s="29">
        <f t="shared" si="0"/>
        <v>675000</v>
      </c>
    </row>
    <row r="25" spans="1:14" x14ac:dyDescent="0.2">
      <c r="A25" s="2" t="s">
        <v>62</v>
      </c>
      <c r="B25" s="3">
        <v>45694</v>
      </c>
      <c r="C25" s="10" t="s">
        <v>17</v>
      </c>
      <c r="D25" s="10" t="s">
        <v>18</v>
      </c>
      <c r="E25" s="1" t="s">
        <v>31</v>
      </c>
      <c r="F25" s="1" t="s">
        <v>41</v>
      </c>
      <c r="G25">
        <v>300000</v>
      </c>
      <c r="H25" s="1">
        <v>2</v>
      </c>
      <c r="I25" s="1" t="s">
        <v>39</v>
      </c>
      <c r="J25" s="1" t="s">
        <v>37</v>
      </c>
      <c r="K25" s="15">
        <v>600000</v>
      </c>
      <c r="N25" s="29">
        <f t="shared" si="0"/>
        <v>600000</v>
      </c>
    </row>
    <row r="26" spans="1:14" x14ac:dyDescent="0.2">
      <c r="A26" s="2" t="s">
        <v>63</v>
      </c>
      <c r="B26" s="3">
        <v>45740</v>
      </c>
      <c r="C26" s="10" t="s">
        <v>21</v>
      </c>
      <c r="D26" s="10" t="s">
        <v>22</v>
      </c>
      <c r="E26" s="1" t="s">
        <v>26</v>
      </c>
      <c r="F26" s="1" t="s">
        <v>27</v>
      </c>
      <c r="G26">
        <v>75000</v>
      </c>
      <c r="H26" s="1">
        <v>1</v>
      </c>
      <c r="I26" s="1" t="s">
        <v>39</v>
      </c>
      <c r="J26" s="1" t="s">
        <v>29</v>
      </c>
      <c r="K26" s="15">
        <v>75000</v>
      </c>
      <c r="N26" s="29">
        <f t="shared" si="0"/>
        <v>75000</v>
      </c>
    </row>
    <row r="27" spans="1:14" x14ac:dyDescent="0.2">
      <c r="A27" s="2" t="s">
        <v>64</v>
      </c>
      <c r="B27" s="3">
        <v>45794</v>
      </c>
      <c r="C27" s="10" t="s">
        <v>13</v>
      </c>
      <c r="D27" s="10" t="s">
        <v>14</v>
      </c>
      <c r="E27" s="1" t="s">
        <v>47</v>
      </c>
      <c r="F27" s="1" t="s">
        <v>34</v>
      </c>
      <c r="G27">
        <v>275000</v>
      </c>
      <c r="H27" s="1">
        <v>1</v>
      </c>
      <c r="I27" s="1" t="s">
        <v>39</v>
      </c>
      <c r="J27" s="1" t="s">
        <v>29</v>
      </c>
      <c r="K27" s="15">
        <v>275000</v>
      </c>
      <c r="N27" s="29">
        <f t="shared" si="0"/>
        <v>275000</v>
      </c>
    </row>
    <row r="28" spans="1:14" x14ac:dyDescent="0.2">
      <c r="A28" s="2" t="s">
        <v>65</v>
      </c>
      <c r="B28" s="3">
        <v>45662</v>
      </c>
      <c r="C28" s="10" t="s">
        <v>23</v>
      </c>
      <c r="D28" s="10" t="s">
        <v>12</v>
      </c>
      <c r="E28" s="1" t="s">
        <v>31</v>
      </c>
      <c r="F28" s="1" t="s">
        <v>34</v>
      </c>
      <c r="G28">
        <v>375000</v>
      </c>
      <c r="H28" s="1">
        <v>2</v>
      </c>
      <c r="I28" s="1" t="s">
        <v>39</v>
      </c>
      <c r="J28" s="1" t="s">
        <v>29</v>
      </c>
      <c r="K28" s="15">
        <v>750000</v>
      </c>
      <c r="N28" s="29">
        <f t="shared" si="0"/>
        <v>750000</v>
      </c>
    </row>
    <row r="29" spans="1:14" x14ac:dyDescent="0.2">
      <c r="A29" s="2" t="s">
        <v>66</v>
      </c>
      <c r="B29" s="3">
        <v>45758</v>
      </c>
      <c r="C29" s="10" t="s">
        <v>19</v>
      </c>
      <c r="D29" s="10" t="s">
        <v>20</v>
      </c>
      <c r="E29" s="1" t="s">
        <v>47</v>
      </c>
      <c r="F29" s="1" t="s">
        <v>34</v>
      </c>
      <c r="G29">
        <v>250000</v>
      </c>
      <c r="H29" s="1">
        <v>3</v>
      </c>
      <c r="I29" s="1" t="s">
        <v>39</v>
      </c>
      <c r="J29" s="1" t="s">
        <v>29</v>
      </c>
      <c r="K29" s="15">
        <v>750000</v>
      </c>
      <c r="N29" s="29">
        <f t="shared" si="0"/>
        <v>750000</v>
      </c>
    </row>
    <row r="30" spans="1:14" x14ac:dyDescent="0.2">
      <c r="A30" s="2" t="s">
        <v>67</v>
      </c>
      <c r="B30" s="3">
        <v>45822</v>
      </c>
      <c r="C30" s="10" t="s">
        <v>21</v>
      </c>
      <c r="D30" s="10" t="s">
        <v>22</v>
      </c>
      <c r="E30" s="1" t="s">
        <v>26</v>
      </c>
      <c r="F30" s="1" t="s">
        <v>32</v>
      </c>
      <c r="G30">
        <v>75000</v>
      </c>
      <c r="H30" s="1">
        <v>3</v>
      </c>
      <c r="I30" s="1" t="s">
        <v>28</v>
      </c>
      <c r="J30" s="1" t="s">
        <v>29</v>
      </c>
      <c r="K30" s="15">
        <v>225000</v>
      </c>
      <c r="N30" s="29">
        <f t="shared" si="0"/>
        <v>225000</v>
      </c>
    </row>
    <row r="31" spans="1:14" x14ac:dyDescent="0.2">
      <c r="A31" s="2" t="s">
        <v>68</v>
      </c>
      <c r="B31" s="3">
        <v>45691</v>
      </c>
      <c r="C31" s="10" t="s">
        <v>15</v>
      </c>
      <c r="D31" s="10" t="s">
        <v>16</v>
      </c>
      <c r="E31" s="1" t="s">
        <v>36</v>
      </c>
      <c r="F31" s="1" t="s">
        <v>45</v>
      </c>
      <c r="G31">
        <v>225000</v>
      </c>
      <c r="H31" s="1">
        <v>3</v>
      </c>
      <c r="I31" s="1" t="s">
        <v>39</v>
      </c>
      <c r="J31" s="1" t="s">
        <v>37</v>
      </c>
      <c r="K31" s="15">
        <v>675000</v>
      </c>
      <c r="N31" s="29">
        <f t="shared" si="0"/>
        <v>675000</v>
      </c>
    </row>
    <row r="32" spans="1:14" x14ac:dyDescent="0.2">
      <c r="A32" s="2" t="s">
        <v>69</v>
      </c>
      <c r="B32" s="3">
        <v>45741</v>
      </c>
      <c r="C32" s="10" t="s">
        <v>11</v>
      </c>
      <c r="D32" s="10" t="s">
        <v>12</v>
      </c>
      <c r="E32" s="1" t="s">
        <v>47</v>
      </c>
      <c r="F32" s="1" t="s">
        <v>27</v>
      </c>
      <c r="G32">
        <v>350000</v>
      </c>
      <c r="H32" s="1">
        <v>2</v>
      </c>
      <c r="I32" s="1" t="s">
        <v>28</v>
      </c>
      <c r="J32" s="1" t="s">
        <v>29</v>
      </c>
      <c r="K32" s="15">
        <v>700000</v>
      </c>
      <c r="N32" s="29">
        <f t="shared" si="0"/>
        <v>700000</v>
      </c>
    </row>
    <row r="33" spans="1:14" x14ac:dyDescent="0.2">
      <c r="A33" s="2" t="s">
        <v>70</v>
      </c>
      <c r="B33" s="3">
        <v>45838</v>
      </c>
      <c r="C33" s="10" t="s">
        <v>23</v>
      </c>
      <c r="D33" s="10" t="s">
        <v>12</v>
      </c>
      <c r="E33" s="1" t="s">
        <v>26</v>
      </c>
      <c r="F33" s="1" t="s">
        <v>27</v>
      </c>
      <c r="G33">
        <v>375000</v>
      </c>
      <c r="H33" s="1">
        <v>3</v>
      </c>
      <c r="I33" s="1" t="s">
        <v>28</v>
      </c>
      <c r="J33" s="1" t="s">
        <v>29</v>
      </c>
      <c r="K33" s="15">
        <v>1125000</v>
      </c>
      <c r="N33" s="29">
        <f t="shared" si="0"/>
        <v>1125000</v>
      </c>
    </row>
    <row r="34" spans="1:14" x14ac:dyDescent="0.2">
      <c r="A34" s="2" t="s">
        <v>71</v>
      </c>
      <c r="B34" s="3">
        <v>45815</v>
      </c>
      <c r="C34" s="10" t="s">
        <v>15</v>
      </c>
      <c r="D34" s="10" t="s">
        <v>16</v>
      </c>
      <c r="E34" s="1" t="s">
        <v>36</v>
      </c>
      <c r="F34" s="1" t="s">
        <v>27</v>
      </c>
      <c r="G34">
        <v>225000</v>
      </c>
      <c r="H34" s="1">
        <v>1</v>
      </c>
      <c r="I34" s="1" t="s">
        <v>28</v>
      </c>
      <c r="J34" s="1" t="s">
        <v>37</v>
      </c>
      <c r="K34" s="15">
        <v>225000</v>
      </c>
      <c r="N34" s="29">
        <f t="shared" si="0"/>
        <v>225000</v>
      </c>
    </row>
    <row r="35" spans="1:14" x14ac:dyDescent="0.2">
      <c r="A35" s="2" t="s">
        <v>72</v>
      </c>
      <c r="B35" s="3">
        <v>45728</v>
      </c>
      <c r="C35" s="10" t="s">
        <v>17</v>
      </c>
      <c r="D35" s="10" t="s">
        <v>18</v>
      </c>
      <c r="E35" s="1" t="s">
        <v>26</v>
      </c>
      <c r="F35" s="1" t="s">
        <v>34</v>
      </c>
      <c r="G35">
        <v>300000</v>
      </c>
      <c r="H35" s="1">
        <v>1</v>
      </c>
      <c r="I35" s="1" t="s">
        <v>39</v>
      </c>
      <c r="J35" s="1" t="s">
        <v>37</v>
      </c>
      <c r="K35" s="15">
        <v>300000</v>
      </c>
      <c r="N35" s="29">
        <f t="shared" si="0"/>
        <v>300000</v>
      </c>
    </row>
    <row r="36" spans="1:14" x14ac:dyDescent="0.2">
      <c r="A36" s="2" t="s">
        <v>73</v>
      </c>
      <c r="B36" s="3">
        <v>45821</v>
      </c>
      <c r="C36" s="10" t="s">
        <v>17</v>
      </c>
      <c r="D36" s="10" t="s">
        <v>18</v>
      </c>
      <c r="E36" s="1" t="s">
        <v>31</v>
      </c>
      <c r="F36" s="1" t="s">
        <v>34</v>
      </c>
      <c r="G36">
        <v>300000</v>
      </c>
      <c r="H36" s="1">
        <v>1</v>
      </c>
      <c r="I36" s="1" t="s">
        <v>28</v>
      </c>
      <c r="J36" s="1" t="s">
        <v>37</v>
      </c>
      <c r="K36" s="15">
        <v>300000</v>
      </c>
      <c r="N36" s="29">
        <f t="shared" si="0"/>
        <v>300000</v>
      </c>
    </row>
    <row r="37" spans="1:14" x14ac:dyDescent="0.2">
      <c r="A37" s="2" t="s">
        <v>74</v>
      </c>
      <c r="B37" s="3">
        <v>45741</v>
      </c>
      <c r="C37" s="10" t="s">
        <v>24</v>
      </c>
      <c r="D37" s="10" t="s">
        <v>16</v>
      </c>
      <c r="E37" s="1" t="s">
        <v>31</v>
      </c>
      <c r="F37" s="1" t="s">
        <v>60</v>
      </c>
      <c r="G37">
        <v>240000</v>
      </c>
      <c r="H37" s="1">
        <v>2</v>
      </c>
      <c r="I37" s="1" t="s">
        <v>39</v>
      </c>
      <c r="J37" s="1" t="s">
        <v>37</v>
      </c>
      <c r="K37" s="15">
        <v>480000</v>
      </c>
      <c r="N37" s="29">
        <f t="shared" si="0"/>
        <v>480000</v>
      </c>
    </row>
    <row r="38" spans="1:14" x14ac:dyDescent="0.2">
      <c r="A38" s="2" t="s">
        <v>75</v>
      </c>
      <c r="B38" s="3">
        <v>45754</v>
      </c>
      <c r="C38" s="10" t="s">
        <v>23</v>
      </c>
      <c r="D38" s="10" t="s">
        <v>12</v>
      </c>
      <c r="E38" s="1" t="s">
        <v>47</v>
      </c>
      <c r="F38" s="1" t="s">
        <v>27</v>
      </c>
      <c r="G38">
        <v>375000</v>
      </c>
      <c r="H38" s="1">
        <v>2</v>
      </c>
      <c r="I38" s="1" t="s">
        <v>28</v>
      </c>
      <c r="J38" s="1" t="s">
        <v>29</v>
      </c>
      <c r="K38" s="15">
        <v>750000</v>
      </c>
      <c r="N38" s="29">
        <f t="shared" si="0"/>
        <v>750000</v>
      </c>
    </row>
    <row r="39" spans="1:14" x14ac:dyDescent="0.2">
      <c r="A39" s="2" t="s">
        <v>76</v>
      </c>
      <c r="B39" s="3">
        <v>45837</v>
      </c>
      <c r="C39" s="10" t="s">
        <v>13</v>
      </c>
      <c r="D39" s="10" t="s">
        <v>14</v>
      </c>
      <c r="E39" s="1" t="s">
        <v>31</v>
      </c>
      <c r="F39" s="1" t="s">
        <v>27</v>
      </c>
      <c r="G39">
        <v>275000</v>
      </c>
      <c r="H39" s="1">
        <v>2</v>
      </c>
      <c r="I39" s="1" t="s">
        <v>28</v>
      </c>
      <c r="J39" s="1" t="s">
        <v>29</v>
      </c>
      <c r="K39" s="15">
        <v>550000</v>
      </c>
      <c r="N39" s="29">
        <f t="shared" si="0"/>
        <v>550000</v>
      </c>
    </row>
    <row r="40" spans="1:14" x14ac:dyDescent="0.2">
      <c r="A40" s="2" t="s">
        <v>77</v>
      </c>
      <c r="B40" s="3">
        <v>45703</v>
      </c>
      <c r="C40" s="10" t="s">
        <v>24</v>
      </c>
      <c r="D40" s="10" t="s">
        <v>16</v>
      </c>
      <c r="E40" s="1" t="s">
        <v>36</v>
      </c>
      <c r="F40" s="1" t="s">
        <v>45</v>
      </c>
      <c r="G40">
        <v>240000</v>
      </c>
      <c r="H40" s="1">
        <v>3</v>
      </c>
      <c r="I40" s="1" t="s">
        <v>39</v>
      </c>
      <c r="J40" s="1" t="s">
        <v>37</v>
      </c>
      <c r="K40" s="15">
        <v>720000</v>
      </c>
      <c r="N40" s="29">
        <f t="shared" si="0"/>
        <v>720000</v>
      </c>
    </row>
    <row r="41" spans="1:14" x14ac:dyDescent="0.2">
      <c r="A41" s="2" t="s">
        <v>78</v>
      </c>
      <c r="B41" s="3">
        <v>45718</v>
      </c>
      <c r="C41" s="10" t="s">
        <v>24</v>
      </c>
      <c r="D41" s="10" t="s">
        <v>16</v>
      </c>
      <c r="E41" s="1" t="s">
        <v>47</v>
      </c>
      <c r="F41" s="1" t="s">
        <v>32</v>
      </c>
      <c r="G41">
        <v>240000</v>
      </c>
      <c r="H41" s="1">
        <v>3</v>
      </c>
      <c r="I41" s="1" t="s">
        <v>28</v>
      </c>
      <c r="J41" s="1" t="s">
        <v>37</v>
      </c>
      <c r="K41" s="15">
        <v>720000</v>
      </c>
      <c r="N41" s="29">
        <f t="shared" si="0"/>
        <v>720000</v>
      </c>
    </row>
    <row r="42" spans="1:14" x14ac:dyDescent="0.2">
      <c r="A42" s="2" t="s">
        <v>79</v>
      </c>
      <c r="B42" s="3">
        <v>45689</v>
      </c>
      <c r="C42" s="10" t="s">
        <v>24</v>
      </c>
      <c r="D42" s="10" t="s">
        <v>16</v>
      </c>
      <c r="E42" s="1" t="s">
        <v>47</v>
      </c>
      <c r="F42" s="1" t="s">
        <v>60</v>
      </c>
      <c r="G42">
        <v>240000</v>
      </c>
      <c r="H42" s="1">
        <v>3</v>
      </c>
      <c r="I42" s="1" t="s">
        <v>28</v>
      </c>
      <c r="J42" s="1" t="s">
        <v>29</v>
      </c>
      <c r="K42" s="15">
        <v>720000</v>
      </c>
      <c r="N42" s="29">
        <f t="shared" si="0"/>
        <v>720000</v>
      </c>
    </row>
    <row r="43" spans="1:14" x14ac:dyDescent="0.2">
      <c r="A43" s="2" t="s">
        <v>80</v>
      </c>
      <c r="B43" s="3">
        <v>45714</v>
      </c>
      <c r="C43" s="10" t="s">
        <v>23</v>
      </c>
      <c r="D43" s="10" t="s">
        <v>12</v>
      </c>
      <c r="E43" s="1" t="s">
        <v>47</v>
      </c>
      <c r="F43" s="1" t="s">
        <v>32</v>
      </c>
      <c r="G43">
        <v>375000</v>
      </c>
      <c r="H43" s="1">
        <v>3</v>
      </c>
      <c r="I43" s="1" t="s">
        <v>28</v>
      </c>
      <c r="J43" s="1" t="s">
        <v>37</v>
      </c>
      <c r="K43" s="15">
        <v>1125000</v>
      </c>
      <c r="N43" s="29">
        <f t="shared" si="0"/>
        <v>1125000</v>
      </c>
    </row>
    <row r="44" spans="1:14" x14ac:dyDescent="0.2">
      <c r="A44" s="2" t="s">
        <v>81</v>
      </c>
      <c r="B44" s="3">
        <v>45812</v>
      </c>
      <c r="C44" s="10" t="s">
        <v>21</v>
      </c>
      <c r="D44" s="10" t="s">
        <v>22</v>
      </c>
      <c r="E44" s="1" t="s">
        <v>26</v>
      </c>
      <c r="F44" s="1" t="s">
        <v>27</v>
      </c>
      <c r="G44">
        <v>75000</v>
      </c>
      <c r="H44" s="1">
        <v>3</v>
      </c>
      <c r="I44" s="1" t="s">
        <v>39</v>
      </c>
      <c r="J44" s="1" t="s">
        <v>37</v>
      </c>
      <c r="K44" s="15">
        <v>225000</v>
      </c>
      <c r="N44" s="29">
        <f t="shared" si="0"/>
        <v>225000</v>
      </c>
    </row>
    <row r="45" spans="1:14" x14ac:dyDescent="0.2">
      <c r="A45" s="2" t="s">
        <v>82</v>
      </c>
      <c r="B45" s="3">
        <v>45829</v>
      </c>
      <c r="C45" s="10" t="s">
        <v>11</v>
      </c>
      <c r="D45" s="10" t="s">
        <v>12</v>
      </c>
      <c r="E45" s="1" t="s">
        <v>47</v>
      </c>
      <c r="F45" s="1" t="s">
        <v>32</v>
      </c>
      <c r="G45">
        <v>350000</v>
      </c>
      <c r="H45" s="1">
        <v>3</v>
      </c>
      <c r="I45" s="1" t="s">
        <v>28</v>
      </c>
      <c r="J45" s="1" t="s">
        <v>29</v>
      </c>
      <c r="K45" s="15">
        <v>1050000</v>
      </c>
      <c r="N45" s="29">
        <f t="shared" si="0"/>
        <v>1050000</v>
      </c>
    </row>
    <row r="46" spans="1:14" x14ac:dyDescent="0.2">
      <c r="A46" s="2" t="s">
        <v>83</v>
      </c>
      <c r="B46" s="3">
        <v>45697</v>
      </c>
      <c r="C46" s="10" t="s">
        <v>15</v>
      </c>
      <c r="D46" s="10" t="s">
        <v>16</v>
      </c>
      <c r="E46" s="1" t="s">
        <v>47</v>
      </c>
      <c r="F46" s="1" t="s">
        <v>27</v>
      </c>
      <c r="G46">
        <v>225000</v>
      </c>
      <c r="H46" s="1">
        <v>3</v>
      </c>
      <c r="I46" s="1" t="s">
        <v>28</v>
      </c>
      <c r="J46" s="1" t="s">
        <v>29</v>
      </c>
      <c r="K46" s="15">
        <v>675000</v>
      </c>
      <c r="N46" s="29">
        <f t="shared" si="0"/>
        <v>675000</v>
      </c>
    </row>
    <row r="47" spans="1:14" x14ac:dyDescent="0.2">
      <c r="A47" s="2" t="s">
        <v>84</v>
      </c>
      <c r="B47" s="3">
        <v>45687</v>
      </c>
      <c r="C47" s="10" t="s">
        <v>24</v>
      </c>
      <c r="D47" s="10" t="s">
        <v>16</v>
      </c>
      <c r="E47" s="1" t="s">
        <v>47</v>
      </c>
      <c r="F47" s="1" t="s">
        <v>27</v>
      </c>
      <c r="G47">
        <v>240000</v>
      </c>
      <c r="H47" s="1">
        <v>1</v>
      </c>
      <c r="I47" s="1" t="s">
        <v>39</v>
      </c>
      <c r="J47" s="1" t="s">
        <v>37</v>
      </c>
      <c r="K47" s="15">
        <v>240000</v>
      </c>
      <c r="N47" s="29">
        <f t="shared" si="0"/>
        <v>240000</v>
      </c>
    </row>
    <row r="48" spans="1:14" x14ac:dyDescent="0.2">
      <c r="A48" s="2" t="s">
        <v>85</v>
      </c>
      <c r="B48" s="3">
        <v>45772</v>
      </c>
      <c r="C48" s="10" t="s">
        <v>24</v>
      </c>
      <c r="D48" s="10" t="s">
        <v>16</v>
      </c>
      <c r="E48" s="1" t="s">
        <v>31</v>
      </c>
      <c r="F48" s="1" t="s">
        <v>60</v>
      </c>
      <c r="G48">
        <v>240000</v>
      </c>
      <c r="H48" s="1">
        <v>1</v>
      </c>
      <c r="I48" s="1" t="s">
        <v>39</v>
      </c>
      <c r="J48" s="1" t="s">
        <v>37</v>
      </c>
      <c r="K48" s="15">
        <v>240000</v>
      </c>
      <c r="N48" s="29">
        <f t="shared" si="0"/>
        <v>240000</v>
      </c>
    </row>
    <row r="49" spans="1:14" x14ac:dyDescent="0.2">
      <c r="A49" s="2" t="s">
        <v>86</v>
      </c>
      <c r="B49" s="3">
        <v>45696</v>
      </c>
      <c r="C49" s="10" t="s">
        <v>17</v>
      </c>
      <c r="D49" s="10" t="s">
        <v>18</v>
      </c>
      <c r="E49" s="1" t="s">
        <v>31</v>
      </c>
      <c r="F49" s="1" t="s">
        <v>45</v>
      </c>
      <c r="G49">
        <v>300000</v>
      </c>
      <c r="H49" s="1">
        <v>3</v>
      </c>
      <c r="I49" s="1" t="s">
        <v>28</v>
      </c>
      <c r="J49" s="1" t="s">
        <v>29</v>
      </c>
      <c r="K49" s="15">
        <v>900000</v>
      </c>
      <c r="N49" s="29">
        <f t="shared" si="0"/>
        <v>900000</v>
      </c>
    </row>
    <row r="50" spans="1:14" x14ac:dyDescent="0.2">
      <c r="A50" s="2" t="s">
        <v>87</v>
      </c>
      <c r="B50" s="3">
        <v>45810</v>
      </c>
      <c r="C50" s="10" t="s">
        <v>24</v>
      </c>
      <c r="D50" s="10" t="s">
        <v>16</v>
      </c>
      <c r="E50" s="1" t="s">
        <v>47</v>
      </c>
      <c r="F50" s="1" t="s">
        <v>41</v>
      </c>
      <c r="G50">
        <v>240000</v>
      </c>
      <c r="H50" s="1">
        <v>1</v>
      </c>
      <c r="I50" s="1" t="s">
        <v>39</v>
      </c>
      <c r="J50" s="1" t="s">
        <v>29</v>
      </c>
      <c r="K50" s="15">
        <v>240000</v>
      </c>
      <c r="N50" s="29">
        <f t="shared" si="0"/>
        <v>240000</v>
      </c>
    </row>
    <row r="51" spans="1:14" x14ac:dyDescent="0.2">
      <c r="A51" s="2" t="s">
        <v>88</v>
      </c>
      <c r="B51" s="3">
        <v>45712</v>
      </c>
      <c r="C51" s="10" t="s">
        <v>19</v>
      </c>
      <c r="D51" s="10" t="s">
        <v>20</v>
      </c>
      <c r="E51" s="1" t="s">
        <v>36</v>
      </c>
      <c r="F51" s="1" t="s">
        <v>41</v>
      </c>
      <c r="G51">
        <v>250000</v>
      </c>
      <c r="H51" s="1">
        <v>1</v>
      </c>
      <c r="I51" s="1" t="s">
        <v>28</v>
      </c>
      <c r="J51" s="1" t="s">
        <v>37</v>
      </c>
      <c r="K51" s="15">
        <v>250000</v>
      </c>
      <c r="N51" s="29">
        <f t="shared" si="0"/>
        <v>250000</v>
      </c>
    </row>
    <row r="52" spans="1:14" x14ac:dyDescent="0.2">
      <c r="A52" s="2" t="s">
        <v>89</v>
      </c>
      <c r="B52" s="3">
        <v>45820</v>
      </c>
      <c r="C52" s="10" t="s">
        <v>11</v>
      </c>
      <c r="D52" s="10" t="s">
        <v>12</v>
      </c>
      <c r="E52" s="1" t="s">
        <v>47</v>
      </c>
      <c r="F52" s="1" t="s">
        <v>34</v>
      </c>
      <c r="G52">
        <v>350000</v>
      </c>
      <c r="H52" s="1">
        <v>1</v>
      </c>
      <c r="I52" s="1" t="s">
        <v>28</v>
      </c>
      <c r="J52" s="1" t="s">
        <v>29</v>
      </c>
      <c r="K52" s="15">
        <v>350000</v>
      </c>
      <c r="N52" s="29">
        <f t="shared" si="0"/>
        <v>350000</v>
      </c>
    </row>
    <row r="53" spans="1:14" x14ac:dyDescent="0.2">
      <c r="A53" s="2" t="s">
        <v>90</v>
      </c>
      <c r="B53" s="3">
        <v>45807</v>
      </c>
      <c r="C53" s="10" t="s">
        <v>17</v>
      </c>
      <c r="D53" s="10" t="s">
        <v>18</v>
      </c>
      <c r="E53" s="1" t="s">
        <v>36</v>
      </c>
      <c r="F53" s="1" t="s">
        <v>60</v>
      </c>
      <c r="G53">
        <v>300000</v>
      </c>
      <c r="H53" s="1">
        <v>1</v>
      </c>
      <c r="I53" s="1" t="s">
        <v>39</v>
      </c>
      <c r="J53" s="1" t="s">
        <v>37</v>
      </c>
      <c r="K53" s="15">
        <v>300000</v>
      </c>
      <c r="N53" s="29">
        <f t="shared" si="0"/>
        <v>300000</v>
      </c>
    </row>
    <row r="54" spans="1:14" x14ac:dyDescent="0.2">
      <c r="A54" s="2" t="s">
        <v>91</v>
      </c>
      <c r="B54" s="3">
        <v>45827</v>
      </c>
      <c r="C54" s="10" t="s">
        <v>23</v>
      </c>
      <c r="D54" s="10" t="s">
        <v>12</v>
      </c>
      <c r="E54" s="1" t="s">
        <v>26</v>
      </c>
      <c r="F54" s="1" t="s">
        <v>45</v>
      </c>
      <c r="G54">
        <v>375000</v>
      </c>
      <c r="H54" s="1">
        <v>1</v>
      </c>
      <c r="I54" s="1" t="s">
        <v>39</v>
      </c>
      <c r="J54" s="1" t="s">
        <v>29</v>
      </c>
      <c r="K54" s="15">
        <v>375000</v>
      </c>
      <c r="N54" s="29">
        <f t="shared" si="0"/>
        <v>375000</v>
      </c>
    </row>
    <row r="55" spans="1:14" x14ac:dyDescent="0.2">
      <c r="A55" s="2" t="s">
        <v>92</v>
      </c>
      <c r="B55" s="3">
        <v>45819</v>
      </c>
      <c r="C55" s="10" t="s">
        <v>19</v>
      </c>
      <c r="D55" s="10" t="s">
        <v>20</v>
      </c>
      <c r="E55" s="1" t="s">
        <v>47</v>
      </c>
      <c r="F55" s="1" t="s">
        <v>27</v>
      </c>
      <c r="G55">
        <v>250000</v>
      </c>
      <c r="H55" s="1">
        <v>2</v>
      </c>
      <c r="I55" s="1" t="s">
        <v>28</v>
      </c>
      <c r="J55" s="1" t="s">
        <v>37</v>
      </c>
      <c r="K55" s="15">
        <v>500000</v>
      </c>
      <c r="N55" s="29">
        <f t="shared" si="0"/>
        <v>500000</v>
      </c>
    </row>
    <row r="56" spans="1:14" x14ac:dyDescent="0.2">
      <c r="A56" s="2" t="s">
        <v>93</v>
      </c>
      <c r="B56" s="3">
        <v>45786</v>
      </c>
      <c r="C56" s="10" t="s">
        <v>15</v>
      </c>
      <c r="D56" s="10" t="s">
        <v>16</v>
      </c>
      <c r="E56" s="1" t="s">
        <v>36</v>
      </c>
      <c r="F56" s="1" t="s">
        <v>41</v>
      </c>
      <c r="G56">
        <v>225000</v>
      </c>
      <c r="H56" s="1">
        <v>3</v>
      </c>
      <c r="I56" s="1" t="s">
        <v>39</v>
      </c>
      <c r="J56" s="1" t="s">
        <v>37</v>
      </c>
      <c r="K56" s="15">
        <v>675000</v>
      </c>
      <c r="N56" s="29">
        <f t="shared" si="0"/>
        <v>675000</v>
      </c>
    </row>
    <row r="57" spans="1:14" x14ac:dyDescent="0.2">
      <c r="A57" s="2" t="s">
        <v>94</v>
      </c>
      <c r="B57" s="3">
        <v>45760</v>
      </c>
      <c r="C57" s="10" t="s">
        <v>11</v>
      </c>
      <c r="D57" s="10" t="s">
        <v>12</v>
      </c>
      <c r="E57" s="1" t="s">
        <v>26</v>
      </c>
      <c r="F57" s="1" t="s">
        <v>41</v>
      </c>
      <c r="G57">
        <v>350000</v>
      </c>
      <c r="H57" s="1">
        <v>3</v>
      </c>
      <c r="I57" s="1" t="s">
        <v>28</v>
      </c>
      <c r="J57" s="1" t="s">
        <v>37</v>
      </c>
      <c r="K57" s="15">
        <v>1050000</v>
      </c>
      <c r="N57" s="29">
        <f t="shared" si="0"/>
        <v>1050000</v>
      </c>
    </row>
    <row r="58" spans="1:14" x14ac:dyDescent="0.2">
      <c r="A58" s="2" t="s">
        <v>95</v>
      </c>
      <c r="B58" s="3">
        <v>45706</v>
      </c>
      <c r="C58" s="10" t="s">
        <v>19</v>
      </c>
      <c r="D58" s="10" t="s">
        <v>20</v>
      </c>
      <c r="E58" s="1" t="s">
        <v>26</v>
      </c>
      <c r="F58" s="1" t="s">
        <v>27</v>
      </c>
      <c r="G58">
        <v>250000</v>
      </c>
      <c r="H58" s="1">
        <v>1</v>
      </c>
      <c r="I58" s="1" t="s">
        <v>28</v>
      </c>
      <c r="J58" s="1" t="s">
        <v>29</v>
      </c>
      <c r="K58" s="15">
        <v>250000</v>
      </c>
      <c r="N58" s="29">
        <f t="shared" si="0"/>
        <v>250000</v>
      </c>
    </row>
    <row r="59" spans="1:14" x14ac:dyDescent="0.2">
      <c r="A59" s="2" t="s">
        <v>96</v>
      </c>
      <c r="B59" s="3">
        <v>45790</v>
      </c>
      <c r="C59" s="10" t="s">
        <v>11</v>
      </c>
      <c r="D59" s="10" t="s">
        <v>12</v>
      </c>
      <c r="E59" s="1" t="s">
        <v>31</v>
      </c>
      <c r="F59" s="1" t="s">
        <v>41</v>
      </c>
      <c r="G59">
        <v>350000</v>
      </c>
      <c r="H59" s="1">
        <v>1</v>
      </c>
      <c r="I59" s="1" t="s">
        <v>39</v>
      </c>
      <c r="J59" s="1" t="s">
        <v>37</v>
      </c>
      <c r="K59" s="15">
        <v>350000</v>
      </c>
      <c r="N59" s="29">
        <f t="shared" si="0"/>
        <v>350000</v>
      </c>
    </row>
    <row r="60" spans="1:14" x14ac:dyDescent="0.2">
      <c r="A60" s="2" t="s">
        <v>97</v>
      </c>
      <c r="B60" s="3">
        <v>45699</v>
      </c>
      <c r="C60" s="10" t="s">
        <v>11</v>
      </c>
      <c r="D60" s="10" t="s">
        <v>12</v>
      </c>
      <c r="E60" s="1" t="s">
        <v>47</v>
      </c>
      <c r="F60" s="1" t="s">
        <v>60</v>
      </c>
      <c r="G60">
        <v>350000</v>
      </c>
      <c r="H60" s="1">
        <v>3</v>
      </c>
      <c r="I60" s="1" t="s">
        <v>39</v>
      </c>
      <c r="J60" s="1" t="s">
        <v>29</v>
      </c>
      <c r="K60" s="15">
        <v>1050000</v>
      </c>
      <c r="N60" s="29">
        <f t="shared" si="0"/>
        <v>1050000</v>
      </c>
    </row>
    <row r="61" spans="1:14" x14ac:dyDescent="0.2">
      <c r="A61" s="2" t="s">
        <v>98</v>
      </c>
      <c r="B61" s="3">
        <v>45762</v>
      </c>
      <c r="C61" s="10" t="s">
        <v>24</v>
      </c>
      <c r="D61" s="10" t="s">
        <v>16</v>
      </c>
      <c r="E61" s="1" t="s">
        <v>36</v>
      </c>
      <c r="F61" s="1" t="s">
        <v>34</v>
      </c>
      <c r="G61">
        <v>240000</v>
      </c>
      <c r="H61" s="1">
        <v>2</v>
      </c>
      <c r="I61" s="1" t="s">
        <v>39</v>
      </c>
      <c r="J61" s="1" t="s">
        <v>29</v>
      </c>
      <c r="K61" s="15">
        <v>480000</v>
      </c>
      <c r="N61" s="29">
        <f t="shared" si="0"/>
        <v>480000</v>
      </c>
    </row>
    <row r="62" spans="1:14" x14ac:dyDescent="0.2">
      <c r="A62" s="2" t="s">
        <v>99</v>
      </c>
      <c r="B62" s="3">
        <v>45755</v>
      </c>
      <c r="C62" s="10" t="s">
        <v>19</v>
      </c>
      <c r="D62" s="10" t="s">
        <v>20</v>
      </c>
      <c r="E62" s="1" t="s">
        <v>36</v>
      </c>
      <c r="F62" s="1" t="s">
        <v>27</v>
      </c>
      <c r="G62">
        <v>250000</v>
      </c>
      <c r="H62" s="1">
        <v>2</v>
      </c>
      <c r="I62" s="1" t="s">
        <v>39</v>
      </c>
      <c r="J62" s="1" t="s">
        <v>37</v>
      </c>
      <c r="K62" s="15">
        <v>500000</v>
      </c>
      <c r="N62" s="29">
        <f t="shared" si="0"/>
        <v>500000</v>
      </c>
    </row>
    <row r="63" spans="1:14" x14ac:dyDescent="0.2">
      <c r="A63" s="2" t="s">
        <v>100</v>
      </c>
      <c r="B63" s="3">
        <v>45826</v>
      </c>
      <c r="C63" s="10" t="s">
        <v>17</v>
      </c>
      <c r="D63" s="10" t="s">
        <v>18</v>
      </c>
      <c r="E63" s="1" t="s">
        <v>31</v>
      </c>
      <c r="F63" s="1" t="s">
        <v>34</v>
      </c>
      <c r="G63">
        <v>300000</v>
      </c>
      <c r="H63" s="1">
        <v>1</v>
      </c>
      <c r="I63" s="1" t="s">
        <v>28</v>
      </c>
      <c r="J63" s="1" t="s">
        <v>29</v>
      </c>
      <c r="K63" s="15">
        <v>300000</v>
      </c>
      <c r="N63" s="29">
        <f t="shared" si="0"/>
        <v>300000</v>
      </c>
    </row>
    <row r="64" spans="1:14" x14ac:dyDescent="0.2">
      <c r="A64" s="2" t="s">
        <v>101</v>
      </c>
      <c r="B64" s="3">
        <v>45675</v>
      </c>
      <c r="C64" s="10" t="s">
        <v>21</v>
      </c>
      <c r="D64" s="10" t="s">
        <v>22</v>
      </c>
      <c r="E64" s="1" t="s">
        <v>26</v>
      </c>
      <c r="F64" s="1" t="s">
        <v>45</v>
      </c>
      <c r="G64">
        <v>75000</v>
      </c>
      <c r="H64" s="1">
        <v>3</v>
      </c>
      <c r="I64" s="1" t="s">
        <v>28</v>
      </c>
      <c r="J64" s="1" t="s">
        <v>29</v>
      </c>
      <c r="K64" s="15">
        <v>225000</v>
      </c>
      <c r="N64" s="29">
        <f t="shared" si="0"/>
        <v>225000</v>
      </c>
    </row>
    <row r="65" spans="1:14" x14ac:dyDescent="0.2">
      <c r="A65" s="2" t="s">
        <v>102</v>
      </c>
      <c r="B65" s="3">
        <v>45801</v>
      </c>
      <c r="C65" s="10" t="s">
        <v>11</v>
      </c>
      <c r="D65" s="10" t="s">
        <v>12</v>
      </c>
      <c r="E65" s="1" t="s">
        <v>26</v>
      </c>
      <c r="F65" s="1" t="s">
        <v>32</v>
      </c>
      <c r="G65">
        <v>350000</v>
      </c>
      <c r="H65" s="1">
        <v>1</v>
      </c>
      <c r="I65" s="1" t="s">
        <v>39</v>
      </c>
      <c r="J65" s="1" t="s">
        <v>37</v>
      </c>
      <c r="K65" s="15">
        <v>350000</v>
      </c>
      <c r="N65" s="29">
        <f t="shared" si="0"/>
        <v>350000</v>
      </c>
    </row>
    <row r="66" spans="1:14" x14ac:dyDescent="0.2">
      <c r="A66" s="2" t="s">
        <v>103</v>
      </c>
      <c r="B66" s="3">
        <v>45714</v>
      </c>
      <c r="C66" s="10" t="s">
        <v>17</v>
      </c>
      <c r="D66" s="10" t="s">
        <v>18</v>
      </c>
      <c r="E66" s="1" t="s">
        <v>31</v>
      </c>
      <c r="F66" s="1" t="s">
        <v>32</v>
      </c>
      <c r="G66">
        <v>300000</v>
      </c>
      <c r="H66" s="1">
        <v>2</v>
      </c>
      <c r="I66" s="1" t="s">
        <v>28</v>
      </c>
      <c r="J66" s="1" t="s">
        <v>37</v>
      </c>
      <c r="K66" s="15">
        <v>600000</v>
      </c>
      <c r="N66" s="29">
        <f t="shared" si="0"/>
        <v>600000</v>
      </c>
    </row>
    <row r="67" spans="1:14" x14ac:dyDescent="0.2">
      <c r="A67" s="2" t="s">
        <v>104</v>
      </c>
      <c r="B67" s="3">
        <v>45671</v>
      </c>
      <c r="C67" s="10" t="s">
        <v>15</v>
      </c>
      <c r="D67" s="10" t="s">
        <v>16</v>
      </c>
      <c r="E67" s="1" t="s">
        <v>36</v>
      </c>
      <c r="F67" s="1" t="s">
        <v>60</v>
      </c>
      <c r="G67">
        <v>225000</v>
      </c>
      <c r="H67" s="1">
        <v>2</v>
      </c>
      <c r="I67" s="1" t="s">
        <v>39</v>
      </c>
      <c r="J67" s="1" t="s">
        <v>37</v>
      </c>
      <c r="K67" s="15">
        <v>450000</v>
      </c>
      <c r="N67" s="29">
        <f t="shared" ref="N67:N130" si="1">G67*H67</f>
        <v>450000</v>
      </c>
    </row>
    <row r="68" spans="1:14" x14ac:dyDescent="0.2">
      <c r="A68" s="2" t="s">
        <v>105</v>
      </c>
      <c r="B68" s="3">
        <v>45664</v>
      </c>
      <c r="C68" s="10" t="s">
        <v>11</v>
      </c>
      <c r="D68" s="10" t="s">
        <v>12</v>
      </c>
      <c r="E68" s="1" t="s">
        <v>47</v>
      </c>
      <c r="F68" s="1" t="s">
        <v>45</v>
      </c>
      <c r="G68">
        <v>350000</v>
      </c>
      <c r="H68" s="1">
        <v>3</v>
      </c>
      <c r="I68" s="1" t="s">
        <v>39</v>
      </c>
      <c r="J68" s="1" t="s">
        <v>37</v>
      </c>
      <c r="K68" s="15">
        <v>1050000</v>
      </c>
      <c r="N68" s="29">
        <f t="shared" si="1"/>
        <v>1050000</v>
      </c>
    </row>
    <row r="69" spans="1:14" x14ac:dyDescent="0.2">
      <c r="A69" s="2" t="s">
        <v>106</v>
      </c>
      <c r="B69" s="3">
        <v>45764</v>
      </c>
      <c r="C69" s="10" t="s">
        <v>13</v>
      </c>
      <c r="D69" s="10" t="s">
        <v>14</v>
      </c>
      <c r="E69" s="1" t="s">
        <v>47</v>
      </c>
      <c r="F69" s="1" t="s">
        <v>45</v>
      </c>
      <c r="G69">
        <v>275000</v>
      </c>
      <c r="H69" s="1">
        <v>1</v>
      </c>
      <c r="I69" s="1" t="s">
        <v>28</v>
      </c>
      <c r="J69" s="1" t="s">
        <v>29</v>
      </c>
      <c r="K69" s="15">
        <v>275000</v>
      </c>
      <c r="N69" s="29">
        <f t="shared" si="1"/>
        <v>275000</v>
      </c>
    </row>
    <row r="70" spans="1:14" x14ac:dyDescent="0.2">
      <c r="A70" s="2" t="s">
        <v>107</v>
      </c>
      <c r="B70" s="3">
        <v>45817</v>
      </c>
      <c r="C70" s="10" t="s">
        <v>17</v>
      </c>
      <c r="D70" s="10" t="s">
        <v>18</v>
      </c>
      <c r="E70" s="1" t="s">
        <v>26</v>
      </c>
      <c r="F70" s="1" t="s">
        <v>27</v>
      </c>
      <c r="G70">
        <v>300000</v>
      </c>
      <c r="H70" s="1">
        <v>1</v>
      </c>
      <c r="I70" s="1" t="s">
        <v>28</v>
      </c>
      <c r="J70" s="1" t="s">
        <v>37</v>
      </c>
      <c r="K70" s="15">
        <v>300000</v>
      </c>
      <c r="N70" s="29">
        <f t="shared" si="1"/>
        <v>300000</v>
      </c>
    </row>
    <row r="71" spans="1:14" x14ac:dyDescent="0.2">
      <c r="A71" s="2" t="s">
        <v>108</v>
      </c>
      <c r="B71" s="3">
        <v>45660</v>
      </c>
      <c r="C71" s="10" t="s">
        <v>23</v>
      </c>
      <c r="D71" s="10" t="s">
        <v>12</v>
      </c>
      <c r="E71" s="1" t="s">
        <v>31</v>
      </c>
      <c r="F71" s="1" t="s">
        <v>45</v>
      </c>
      <c r="G71">
        <v>375000</v>
      </c>
      <c r="H71" s="1">
        <v>1</v>
      </c>
      <c r="I71" s="1" t="s">
        <v>39</v>
      </c>
      <c r="J71" s="1" t="s">
        <v>37</v>
      </c>
      <c r="K71" s="15">
        <v>375000</v>
      </c>
      <c r="N71" s="29">
        <f t="shared" si="1"/>
        <v>375000</v>
      </c>
    </row>
    <row r="72" spans="1:14" x14ac:dyDescent="0.2">
      <c r="A72" s="2" t="s">
        <v>109</v>
      </c>
      <c r="B72" s="3">
        <v>45791</v>
      </c>
      <c r="C72" s="10" t="s">
        <v>11</v>
      </c>
      <c r="D72" s="10" t="s">
        <v>12</v>
      </c>
      <c r="E72" s="1" t="s">
        <v>36</v>
      </c>
      <c r="F72" s="1" t="s">
        <v>60</v>
      </c>
      <c r="G72">
        <v>350000</v>
      </c>
      <c r="H72" s="1">
        <v>1</v>
      </c>
      <c r="I72" s="1" t="s">
        <v>28</v>
      </c>
      <c r="J72" s="1" t="s">
        <v>37</v>
      </c>
      <c r="K72" s="15">
        <v>350000</v>
      </c>
      <c r="N72" s="29">
        <f t="shared" si="1"/>
        <v>350000</v>
      </c>
    </row>
    <row r="73" spans="1:14" x14ac:dyDescent="0.2">
      <c r="A73" s="2" t="s">
        <v>110</v>
      </c>
      <c r="B73" s="3">
        <v>45722</v>
      </c>
      <c r="C73" s="10" t="s">
        <v>13</v>
      </c>
      <c r="D73" s="10" t="s">
        <v>14</v>
      </c>
      <c r="E73" s="1" t="s">
        <v>47</v>
      </c>
      <c r="F73" s="1" t="s">
        <v>32</v>
      </c>
      <c r="G73">
        <v>275000</v>
      </c>
      <c r="H73" s="1">
        <v>1</v>
      </c>
      <c r="I73" s="1" t="s">
        <v>28</v>
      </c>
      <c r="J73" s="1" t="s">
        <v>29</v>
      </c>
      <c r="K73" s="15">
        <v>275000</v>
      </c>
      <c r="N73" s="29">
        <f t="shared" si="1"/>
        <v>275000</v>
      </c>
    </row>
    <row r="74" spans="1:14" x14ac:dyDescent="0.2">
      <c r="A74" s="2" t="s">
        <v>111</v>
      </c>
      <c r="B74" s="3">
        <v>45734</v>
      </c>
      <c r="C74" s="10" t="s">
        <v>17</v>
      </c>
      <c r="D74" s="10" t="s">
        <v>18</v>
      </c>
      <c r="E74" s="1" t="s">
        <v>26</v>
      </c>
      <c r="F74" s="1" t="s">
        <v>41</v>
      </c>
      <c r="G74">
        <v>300000</v>
      </c>
      <c r="H74" s="1">
        <v>1</v>
      </c>
      <c r="I74" s="1" t="s">
        <v>39</v>
      </c>
      <c r="J74" s="1" t="s">
        <v>37</v>
      </c>
      <c r="K74" s="15">
        <v>300000</v>
      </c>
      <c r="N74" s="29">
        <f t="shared" si="1"/>
        <v>300000</v>
      </c>
    </row>
    <row r="75" spans="1:14" x14ac:dyDescent="0.2">
      <c r="A75" s="2" t="s">
        <v>112</v>
      </c>
      <c r="B75" s="3">
        <v>45763</v>
      </c>
      <c r="C75" s="10" t="s">
        <v>17</v>
      </c>
      <c r="D75" s="10" t="s">
        <v>18</v>
      </c>
      <c r="E75" s="1" t="s">
        <v>26</v>
      </c>
      <c r="F75" s="1" t="s">
        <v>34</v>
      </c>
      <c r="G75">
        <v>300000</v>
      </c>
      <c r="H75" s="1">
        <v>3</v>
      </c>
      <c r="I75" s="1" t="s">
        <v>28</v>
      </c>
      <c r="J75" s="1" t="s">
        <v>37</v>
      </c>
      <c r="K75" s="15">
        <v>900000</v>
      </c>
      <c r="N75" s="29">
        <f t="shared" si="1"/>
        <v>900000</v>
      </c>
    </row>
    <row r="76" spans="1:14" x14ac:dyDescent="0.2">
      <c r="A76" s="2" t="s">
        <v>113</v>
      </c>
      <c r="B76" s="3">
        <v>45774</v>
      </c>
      <c r="C76" s="10" t="s">
        <v>24</v>
      </c>
      <c r="D76" s="10" t="s">
        <v>16</v>
      </c>
      <c r="E76" s="1" t="s">
        <v>31</v>
      </c>
      <c r="F76" s="1" t="s">
        <v>32</v>
      </c>
      <c r="G76">
        <v>240000</v>
      </c>
      <c r="H76" s="1">
        <v>1</v>
      </c>
      <c r="I76" s="1" t="s">
        <v>28</v>
      </c>
      <c r="J76" s="1" t="s">
        <v>29</v>
      </c>
      <c r="K76" s="15">
        <v>240000</v>
      </c>
      <c r="N76" s="29">
        <f t="shared" si="1"/>
        <v>240000</v>
      </c>
    </row>
    <row r="77" spans="1:14" x14ac:dyDescent="0.2">
      <c r="A77" s="2" t="s">
        <v>114</v>
      </c>
      <c r="B77" s="3">
        <v>45692</v>
      </c>
      <c r="C77" s="10" t="s">
        <v>23</v>
      </c>
      <c r="D77" s="10" t="s">
        <v>12</v>
      </c>
      <c r="E77" s="1" t="s">
        <v>31</v>
      </c>
      <c r="F77" s="1" t="s">
        <v>32</v>
      </c>
      <c r="G77">
        <v>375000</v>
      </c>
      <c r="H77" s="1">
        <v>3</v>
      </c>
      <c r="I77" s="1" t="s">
        <v>39</v>
      </c>
      <c r="J77" s="1" t="s">
        <v>29</v>
      </c>
      <c r="K77" s="15">
        <v>1125000</v>
      </c>
      <c r="N77" s="29">
        <f t="shared" si="1"/>
        <v>1125000</v>
      </c>
    </row>
    <row r="78" spans="1:14" x14ac:dyDescent="0.2">
      <c r="A78" s="2" t="s">
        <v>115</v>
      </c>
      <c r="B78" s="3">
        <v>45693</v>
      </c>
      <c r="C78" s="10" t="s">
        <v>17</v>
      </c>
      <c r="D78" s="10" t="s">
        <v>18</v>
      </c>
      <c r="E78" s="1" t="s">
        <v>26</v>
      </c>
      <c r="F78" s="1" t="s">
        <v>27</v>
      </c>
      <c r="G78">
        <v>300000</v>
      </c>
      <c r="H78" s="1">
        <v>1</v>
      </c>
      <c r="I78" s="1" t="s">
        <v>39</v>
      </c>
      <c r="J78" s="1" t="s">
        <v>37</v>
      </c>
      <c r="K78" s="15">
        <v>300000</v>
      </c>
      <c r="N78" s="29">
        <f t="shared" si="1"/>
        <v>300000</v>
      </c>
    </row>
    <row r="79" spans="1:14" x14ac:dyDescent="0.2">
      <c r="A79" s="2" t="s">
        <v>116</v>
      </c>
      <c r="B79" s="3">
        <v>45751</v>
      </c>
      <c r="C79" s="10" t="s">
        <v>11</v>
      </c>
      <c r="D79" s="10" t="s">
        <v>12</v>
      </c>
      <c r="E79" s="1" t="s">
        <v>26</v>
      </c>
      <c r="F79" s="1" t="s">
        <v>34</v>
      </c>
      <c r="G79">
        <v>350000</v>
      </c>
      <c r="H79" s="1">
        <v>2</v>
      </c>
      <c r="I79" s="1" t="s">
        <v>28</v>
      </c>
      <c r="J79" s="1" t="s">
        <v>37</v>
      </c>
      <c r="K79" s="15">
        <v>700000</v>
      </c>
      <c r="N79" s="29">
        <f t="shared" si="1"/>
        <v>700000</v>
      </c>
    </row>
    <row r="80" spans="1:14" x14ac:dyDescent="0.2">
      <c r="A80" s="2" t="s">
        <v>117</v>
      </c>
      <c r="B80" s="3">
        <v>45790</v>
      </c>
      <c r="C80" s="10" t="s">
        <v>17</v>
      </c>
      <c r="D80" s="10" t="s">
        <v>18</v>
      </c>
      <c r="E80" s="1" t="s">
        <v>47</v>
      </c>
      <c r="F80" s="1" t="s">
        <v>34</v>
      </c>
      <c r="G80">
        <v>300000</v>
      </c>
      <c r="H80" s="1">
        <v>2</v>
      </c>
      <c r="I80" s="1" t="s">
        <v>28</v>
      </c>
      <c r="J80" s="1" t="s">
        <v>37</v>
      </c>
      <c r="K80" s="15">
        <v>600000</v>
      </c>
      <c r="N80" s="29">
        <f t="shared" si="1"/>
        <v>600000</v>
      </c>
    </row>
    <row r="81" spans="1:14" x14ac:dyDescent="0.2">
      <c r="A81" s="2" t="s">
        <v>118</v>
      </c>
      <c r="B81" s="3">
        <v>45715</v>
      </c>
      <c r="C81" s="10" t="s">
        <v>11</v>
      </c>
      <c r="D81" s="10" t="s">
        <v>12</v>
      </c>
      <c r="E81" s="1" t="s">
        <v>26</v>
      </c>
      <c r="F81" s="1" t="s">
        <v>60</v>
      </c>
      <c r="G81">
        <v>350000</v>
      </c>
      <c r="H81" s="1">
        <v>3</v>
      </c>
      <c r="I81" s="1" t="s">
        <v>39</v>
      </c>
      <c r="J81" s="1" t="s">
        <v>37</v>
      </c>
      <c r="K81" s="15">
        <v>1050000</v>
      </c>
      <c r="N81" s="29">
        <f t="shared" si="1"/>
        <v>1050000</v>
      </c>
    </row>
    <row r="82" spans="1:14" x14ac:dyDescent="0.2">
      <c r="A82" s="2" t="s">
        <v>119</v>
      </c>
      <c r="B82" s="3">
        <v>45788</v>
      </c>
      <c r="C82" s="10" t="s">
        <v>23</v>
      </c>
      <c r="D82" s="10" t="s">
        <v>12</v>
      </c>
      <c r="E82" s="1" t="s">
        <v>31</v>
      </c>
      <c r="F82" s="1" t="s">
        <v>60</v>
      </c>
      <c r="G82">
        <v>375000</v>
      </c>
      <c r="H82" s="1">
        <v>3</v>
      </c>
      <c r="I82" s="1" t="s">
        <v>39</v>
      </c>
      <c r="J82" s="1" t="s">
        <v>29</v>
      </c>
      <c r="K82" s="15">
        <v>1125000</v>
      </c>
      <c r="N82" s="29">
        <f t="shared" si="1"/>
        <v>1125000</v>
      </c>
    </row>
    <row r="83" spans="1:14" x14ac:dyDescent="0.2">
      <c r="A83" s="2" t="s">
        <v>120</v>
      </c>
      <c r="B83" s="3">
        <v>45698</v>
      </c>
      <c r="C83" s="10" t="s">
        <v>13</v>
      </c>
      <c r="D83" s="10" t="s">
        <v>14</v>
      </c>
      <c r="E83" s="1" t="s">
        <v>47</v>
      </c>
      <c r="F83" s="1" t="s">
        <v>45</v>
      </c>
      <c r="G83">
        <v>275000</v>
      </c>
      <c r="H83" s="1">
        <v>3</v>
      </c>
      <c r="I83" s="1" t="s">
        <v>28</v>
      </c>
      <c r="J83" s="1" t="s">
        <v>37</v>
      </c>
      <c r="K83" s="15">
        <v>825000</v>
      </c>
      <c r="N83" s="29">
        <f t="shared" si="1"/>
        <v>825000</v>
      </c>
    </row>
    <row r="84" spans="1:14" x14ac:dyDescent="0.2">
      <c r="A84" s="2" t="s">
        <v>121</v>
      </c>
      <c r="B84" s="3">
        <v>45698</v>
      </c>
      <c r="C84" s="10" t="s">
        <v>15</v>
      </c>
      <c r="D84" s="10" t="s">
        <v>16</v>
      </c>
      <c r="E84" s="1" t="s">
        <v>47</v>
      </c>
      <c r="F84" s="1" t="s">
        <v>32</v>
      </c>
      <c r="G84">
        <v>225000</v>
      </c>
      <c r="H84" s="1">
        <v>3</v>
      </c>
      <c r="I84" s="1" t="s">
        <v>28</v>
      </c>
      <c r="J84" s="1" t="s">
        <v>37</v>
      </c>
      <c r="K84" s="15">
        <v>675000</v>
      </c>
      <c r="N84" s="29">
        <f t="shared" si="1"/>
        <v>675000</v>
      </c>
    </row>
    <row r="85" spans="1:14" x14ac:dyDescent="0.2">
      <c r="A85" s="2" t="s">
        <v>122</v>
      </c>
      <c r="B85" s="3">
        <v>45758</v>
      </c>
      <c r="C85" s="10" t="s">
        <v>24</v>
      </c>
      <c r="D85" s="10" t="s">
        <v>16</v>
      </c>
      <c r="E85" s="1" t="s">
        <v>36</v>
      </c>
      <c r="F85" s="1" t="s">
        <v>60</v>
      </c>
      <c r="G85">
        <v>240000</v>
      </c>
      <c r="H85" s="1">
        <v>3</v>
      </c>
      <c r="I85" s="1" t="s">
        <v>28</v>
      </c>
      <c r="J85" s="1" t="s">
        <v>29</v>
      </c>
      <c r="K85" s="15">
        <v>720000</v>
      </c>
      <c r="N85" s="29">
        <f t="shared" si="1"/>
        <v>720000</v>
      </c>
    </row>
    <row r="86" spans="1:14" x14ac:dyDescent="0.2">
      <c r="A86" s="2" t="s">
        <v>123</v>
      </c>
      <c r="B86" s="3">
        <v>45669</v>
      </c>
      <c r="C86" s="10" t="s">
        <v>15</v>
      </c>
      <c r="D86" s="10" t="s">
        <v>16</v>
      </c>
      <c r="E86" s="1" t="s">
        <v>47</v>
      </c>
      <c r="F86" s="1" t="s">
        <v>34</v>
      </c>
      <c r="G86">
        <v>225000</v>
      </c>
      <c r="H86" s="1">
        <v>2</v>
      </c>
      <c r="I86" s="1" t="s">
        <v>28</v>
      </c>
      <c r="J86" s="1" t="s">
        <v>29</v>
      </c>
      <c r="K86" s="15">
        <v>450000</v>
      </c>
      <c r="N86" s="29">
        <f t="shared" si="1"/>
        <v>450000</v>
      </c>
    </row>
    <row r="87" spans="1:14" x14ac:dyDescent="0.2">
      <c r="A87" s="2" t="s">
        <v>124</v>
      </c>
      <c r="B87" s="3">
        <v>45669</v>
      </c>
      <c r="C87" s="10" t="s">
        <v>11</v>
      </c>
      <c r="D87" s="10" t="s">
        <v>12</v>
      </c>
      <c r="E87" s="1" t="s">
        <v>31</v>
      </c>
      <c r="F87" s="1" t="s">
        <v>27</v>
      </c>
      <c r="G87">
        <v>350000</v>
      </c>
      <c r="H87" s="1">
        <v>1</v>
      </c>
      <c r="I87" s="1" t="s">
        <v>39</v>
      </c>
      <c r="J87" s="1" t="s">
        <v>37</v>
      </c>
      <c r="K87" s="15">
        <v>350000</v>
      </c>
      <c r="N87" s="29">
        <f t="shared" si="1"/>
        <v>350000</v>
      </c>
    </row>
    <row r="88" spans="1:14" x14ac:dyDescent="0.2">
      <c r="A88" s="2" t="s">
        <v>125</v>
      </c>
      <c r="B88" s="3">
        <v>45741</v>
      </c>
      <c r="C88" s="10" t="s">
        <v>24</v>
      </c>
      <c r="D88" s="10" t="s">
        <v>16</v>
      </c>
      <c r="E88" s="1" t="s">
        <v>31</v>
      </c>
      <c r="F88" s="1" t="s">
        <v>34</v>
      </c>
      <c r="G88">
        <v>240000</v>
      </c>
      <c r="H88" s="1">
        <v>1</v>
      </c>
      <c r="I88" s="1" t="s">
        <v>28</v>
      </c>
      <c r="J88" s="1" t="s">
        <v>29</v>
      </c>
      <c r="K88" s="15">
        <v>240000</v>
      </c>
      <c r="N88" s="29">
        <f t="shared" si="1"/>
        <v>240000</v>
      </c>
    </row>
    <row r="89" spans="1:14" x14ac:dyDescent="0.2">
      <c r="A89" s="2" t="s">
        <v>126</v>
      </c>
      <c r="B89" s="3">
        <v>45762</v>
      </c>
      <c r="C89" s="10" t="s">
        <v>11</v>
      </c>
      <c r="D89" s="10" t="s">
        <v>12</v>
      </c>
      <c r="E89" s="1" t="s">
        <v>31</v>
      </c>
      <c r="F89" s="1" t="s">
        <v>34</v>
      </c>
      <c r="G89">
        <v>350000</v>
      </c>
      <c r="H89" s="1">
        <v>3</v>
      </c>
      <c r="I89" s="1" t="s">
        <v>28</v>
      </c>
      <c r="J89" s="1" t="s">
        <v>29</v>
      </c>
      <c r="K89" s="15">
        <v>1050000</v>
      </c>
      <c r="N89" s="29">
        <f t="shared" si="1"/>
        <v>1050000</v>
      </c>
    </row>
    <row r="90" spans="1:14" x14ac:dyDescent="0.2">
      <c r="A90" s="2" t="s">
        <v>127</v>
      </c>
      <c r="B90" s="3">
        <v>45837</v>
      </c>
      <c r="C90" s="10" t="s">
        <v>23</v>
      </c>
      <c r="D90" s="10" t="s">
        <v>12</v>
      </c>
      <c r="E90" s="1" t="s">
        <v>26</v>
      </c>
      <c r="F90" s="1" t="s">
        <v>41</v>
      </c>
      <c r="G90">
        <v>375000</v>
      </c>
      <c r="H90" s="1">
        <v>3</v>
      </c>
      <c r="I90" s="1" t="s">
        <v>28</v>
      </c>
      <c r="J90" s="1" t="s">
        <v>29</v>
      </c>
      <c r="K90" s="15">
        <v>1125000</v>
      </c>
      <c r="N90" s="29">
        <f t="shared" si="1"/>
        <v>1125000</v>
      </c>
    </row>
    <row r="91" spans="1:14" x14ac:dyDescent="0.2">
      <c r="A91" s="2" t="s">
        <v>128</v>
      </c>
      <c r="B91" s="3">
        <v>45713</v>
      </c>
      <c r="C91" s="10" t="s">
        <v>13</v>
      </c>
      <c r="D91" s="10" t="s">
        <v>14</v>
      </c>
      <c r="E91" s="1" t="s">
        <v>31</v>
      </c>
      <c r="F91" s="1" t="s">
        <v>32</v>
      </c>
      <c r="G91">
        <v>275000</v>
      </c>
      <c r="H91" s="1">
        <v>1</v>
      </c>
      <c r="I91" s="1" t="s">
        <v>28</v>
      </c>
      <c r="J91" s="1" t="s">
        <v>29</v>
      </c>
      <c r="K91" s="15">
        <v>275000</v>
      </c>
      <c r="N91" s="29">
        <f t="shared" si="1"/>
        <v>275000</v>
      </c>
    </row>
    <row r="92" spans="1:14" x14ac:dyDescent="0.2">
      <c r="A92" s="2" t="s">
        <v>129</v>
      </c>
      <c r="B92" s="3">
        <v>45762</v>
      </c>
      <c r="C92" s="10" t="s">
        <v>13</v>
      </c>
      <c r="D92" s="10" t="s">
        <v>14</v>
      </c>
      <c r="E92" s="1" t="s">
        <v>31</v>
      </c>
      <c r="F92" s="1" t="s">
        <v>41</v>
      </c>
      <c r="G92">
        <v>275000</v>
      </c>
      <c r="H92" s="1">
        <v>1</v>
      </c>
      <c r="I92" s="1" t="s">
        <v>28</v>
      </c>
      <c r="J92" s="1" t="s">
        <v>37</v>
      </c>
      <c r="K92" s="15">
        <v>275000</v>
      </c>
      <c r="N92" s="29">
        <f t="shared" si="1"/>
        <v>275000</v>
      </c>
    </row>
    <row r="93" spans="1:14" x14ac:dyDescent="0.2">
      <c r="A93" s="2" t="s">
        <v>130</v>
      </c>
      <c r="B93" s="3">
        <v>45690</v>
      </c>
      <c r="C93" s="10" t="s">
        <v>11</v>
      </c>
      <c r="D93" s="10" t="s">
        <v>12</v>
      </c>
      <c r="E93" s="1" t="s">
        <v>36</v>
      </c>
      <c r="F93" s="1" t="s">
        <v>27</v>
      </c>
      <c r="G93">
        <v>350000</v>
      </c>
      <c r="H93" s="1">
        <v>3</v>
      </c>
      <c r="I93" s="1" t="s">
        <v>39</v>
      </c>
      <c r="J93" s="1" t="s">
        <v>29</v>
      </c>
      <c r="K93" s="15">
        <v>1050000</v>
      </c>
      <c r="N93" s="29">
        <f t="shared" si="1"/>
        <v>1050000</v>
      </c>
    </row>
    <row r="94" spans="1:14" x14ac:dyDescent="0.2">
      <c r="A94" s="2" t="s">
        <v>131</v>
      </c>
      <c r="B94" s="3">
        <v>45835</v>
      </c>
      <c r="C94" s="10" t="s">
        <v>13</v>
      </c>
      <c r="D94" s="10" t="s">
        <v>14</v>
      </c>
      <c r="E94" s="1" t="s">
        <v>26</v>
      </c>
      <c r="F94" s="1" t="s">
        <v>32</v>
      </c>
      <c r="G94">
        <v>275000</v>
      </c>
      <c r="H94" s="1">
        <v>2</v>
      </c>
      <c r="I94" s="1" t="s">
        <v>39</v>
      </c>
      <c r="J94" s="1" t="s">
        <v>37</v>
      </c>
      <c r="K94" s="15">
        <v>550000</v>
      </c>
      <c r="N94" s="29">
        <f t="shared" si="1"/>
        <v>550000</v>
      </c>
    </row>
    <row r="95" spans="1:14" x14ac:dyDescent="0.2">
      <c r="A95" s="2" t="s">
        <v>132</v>
      </c>
      <c r="B95" s="3">
        <v>45693</v>
      </c>
      <c r="C95" s="10" t="s">
        <v>13</v>
      </c>
      <c r="D95" s="10" t="s">
        <v>14</v>
      </c>
      <c r="E95" s="1" t="s">
        <v>36</v>
      </c>
      <c r="F95" s="1" t="s">
        <v>41</v>
      </c>
      <c r="G95">
        <v>275000</v>
      </c>
      <c r="H95" s="1">
        <v>2</v>
      </c>
      <c r="I95" s="1" t="s">
        <v>39</v>
      </c>
      <c r="J95" s="1" t="s">
        <v>29</v>
      </c>
      <c r="K95" s="15">
        <v>550000</v>
      </c>
      <c r="N95" s="29">
        <f t="shared" si="1"/>
        <v>550000</v>
      </c>
    </row>
    <row r="96" spans="1:14" x14ac:dyDescent="0.2">
      <c r="A96" s="2" t="s">
        <v>133</v>
      </c>
      <c r="B96" s="3">
        <v>45767</v>
      </c>
      <c r="C96" s="10" t="s">
        <v>24</v>
      </c>
      <c r="D96" s="10" t="s">
        <v>16</v>
      </c>
      <c r="E96" s="1" t="s">
        <v>47</v>
      </c>
      <c r="F96" s="1" t="s">
        <v>34</v>
      </c>
      <c r="G96">
        <v>240000</v>
      </c>
      <c r="H96" s="1">
        <v>1</v>
      </c>
      <c r="I96" s="1" t="s">
        <v>39</v>
      </c>
      <c r="J96" s="1" t="s">
        <v>29</v>
      </c>
      <c r="K96" s="15">
        <v>240000</v>
      </c>
      <c r="N96" s="29">
        <f t="shared" si="1"/>
        <v>240000</v>
      </c>
    </row>
    <row r="97" spans="1:14" x14ac:dyDescent="0.2">
      <c r="A97" s="2" t="s">
        <v>134</v>
      </c>
      <c r="B97" s="3">
        <v>45701</v>
      </c>
      <c r="C97" s="10" t="s">
        <v>15</v>
      </c>
      <c r="D97" s="10" t="s">
        <v>16</v>
      </c>
      <c r="E97" s="1" t="s">
        <v>31</v>
      </c>
      <c r="F97" s="1" t="s">
        <v>34</v>
      </c>
      <c r="G97">
        <v>225000</v>
      </c>
      <c r="H97" s="1">
        <v>2</v>
      </c>
      <c r="I97" s="1" t="s">
        <v>28</v>
      </c>
      <c r="J97" s="1" t="s">
        <v>37</v>
      </c>
      <c r="K97" s="15">
        <v>450000</v>
      </c>
      <c r="N97" s="29">
        <f t="shared" si="1"/>
        <v>450000</v>
      </c>
    </row>
    <row r="98" spans="1:14" x14ac:dyDescent="0.2">
      <c r="A98" s="2" t="s">
        <v>135</v>
      </c>
      <c r="B98" s="3">
        <v>45778</v>
      </c>
      <c r="C98" s="10" t="s">
        <v>11</v>
      </c>
      <c r="D98" s="10" t="s">
        <v>12</v>
      </c>
      <c r="E98" s="1" t="s">
        <v>31</v>
      </c>
      <c r="F98" s="1" t="s">
        <v>32</v>
      </c>
      <c r="G98">
        <v>350000</v>
      </c>
      <c r="H98" s="1">
        <v>2</v>
      </c>
      <c r="I98" s="1" t="s">
        <v>39</v>
      </c>
      <c r="J98" s="1" t="s">
        <v>37</v>
      </c>
      <c r="K98" s="15">
        <v>700000</v>
      </c>
      <c r="N98" s="29">
        <f t="shared" si="1"/>
        <v>700000</v>
      </c>
    </row>
    <row r="99" spans="1:14" x14ac:dyDescent="0.2">
      <c r="A99" s="2" t="s">
        <v>136</v>
      </c>
      <c r="B99" s="3">
        <v>45792</v>
      </c>
      <c r="C99" s="10" t="s">
        <v>17</v>
      </c>
      <c r="D99" s="10" t="s">
        <v>18</v>
      </c>
      <c r="E99" s="1" t="s">
        <v>47</v>
      </c>
      <c r="F99" s="1" t="s">
        <v>41</v>
      </c>
      <c r="G99">
        <v>300000</v>
      </c>
      <c r="H99" s="1">
        <v>3</v>
      </c>
      <c r="I99" s="1" t="s">
        <v>39</v>
      </c>
      <c r="J99" s="1" t="s">
        <v>29</v>
      </c>
      <c r="K99" s="15">
        <v>900000</v>
      </c>
      <c r="N99" s="29">
        <f t="shared" si="1"/>
        <v>900000</v>
      </c>
    </row>
    <row r="100" spans="1:14" x14ac:dyDescent="0.2">
      <c r="A100" s="2" t="s">
        <v>137</v>
      </c>
      <c r="B100" s="3">
        <v>45698</v>
      </c>
      <c r="C100" s="10" t="s">
        <v>11</v>
      </c>
      <c r="D100" s="10" t="s">
        <v>12</v>
      </c>
      <c r="E100" s="1" t="s">
        <v>36</v>
      </c>
      <c r="F100" s="1" t="s">
        <v>34</v>
      </c>
      <c r="G100">
        <v>350000</v>
      </c>
      <c r="H100" s="1">
        <v>1</v>
      </c>
      <c r="I100" s="1" t="s">
        <v>39</v>
      </c>
      <c r="J100" s="1" t="s">
        <v>37</v>
      </c>
      <c r="K100" s="15">
        <v>350000</v>
      </c>
      <c r="N100" s="29">
        <f t="shared" si="1"/>
        <v>350000</v>
      </c>
    </row>
    <row r="101" spans="1:14" x14ac:dyDescent="0.2">
      <c r="A101" s="2" t="s">
        <v>138</v>
      </c>
      <c r="B101" s="3">
        <v>45688</v>
      </c>
      <c r="C101" s="10" t="s">
        <v>23</v>
      </c>
      <c r="D101" s="10" t="s">
        <v>12</v>
      </c>
      <c r="E101" s="1" t="s">
        <v>26</v>
      </c>
      <c r="F101" s="1" t="s">
        <v>34</v>
      </c>
      <c r="G101">
        <v>375000</v>
      </c>
      <c r="H101" s="1">
        <v>3</v>
      </c>
      <c r="I101" s="1" t="s">
        <v>28</v>
      </c>
      <c r="J101" s="1" t="s">
        <v>37</v>
      </c>
      <c r="K101" s="15">
        <v>1125000</v>
      </c>
      <c r="N101" s="29">
        <f t="shared" si="1"/>
        <v>1125000</v>
      </c>
    </row>
    <row r="102" spans="1:14" x14ac:dyDescent="0.2">
      <c r="A102" s="2" t="s">
        <v>139</v>
      </c>
      <c r="B102" s="3">
        <v>45698</v>
      </c>
      <c r="C102" s="10" t="s">
        <v>17</v>
      </c>
      <c r="D102" s="10" t="s">
        <v>18</v>
      </c>
      <c r="E102" s="1" t="s">
        <v>47</v>
      </c>
      <c r="F102" s="1" t="s">
        <v>32</v>
      </c>
      <c r="G102">
        <v>300000</v>
      </c>
      <c r="H102" s="1">
        <v>1</v>
      </c>
      <c r="I102" s="1" t="s">
        <v>39</v>
      </c>
      <c r="J102" s="1" t="s">
        <v>29</v>
      </c>
      <c r="K102" s="15">
        <v>300000</v>
      </c>
      <c r="N102" s="29">
        <f t="shared" si="1"/>
        <v>300000</v>
      </c>
    </row>
    <row r="103" spans="1:14" x14ac:dyDescent="0.2">
      <c r="A103" s="2" t="s">
        <v>140</v>
      </c>
      <c r="B103" s="3">
        <v>45684</v>
      </c>
      <c r="C103" s="10" t="s">
        <v>15</v>
      </c>
      <c r="D103" s="10" t="s">
        <v>16</v>
      </c>
      <c r="E103" s="1" t="s">
        <v>36</v>
      </c>
      <c r="F103" s="1" t="s">
        <v>34</v>
      </c>
      <c r="G103">
        <v>225000</v>
      </c>
      <c r="H103" s="1">
        <v>2</v>
      </c>
      <c r="I103" s="1" t="s">
        <v>28</v>
      </c>
      <c r="J103" s="1" t="s">
        <v>29</v>
      </c>
      <c r="K103" s="15">
        <v>450000</v>
      </c>
      <c r="N103" s="29">
        <f t="shared" si="1"/>
        <v>450000</v>
      </c>
    </row>
    <row r="104" spans="1:14" x14ac:dyDescent="0.2">
      <c r="A104" s="2" t="s">
        <v>141</v>
      </c>
      <c r="B104" s="3">
        <v>45732</v>
      </c>
      <c r="C104" s="10" t="s">
        <v>24</v>
      </c>
      <c r="D104" s="10" t="s">
        <v>16</v>
      </c>
      <c r="E104" s="1" t="s">
        <v>36</v>
      </c>
      <c r="F104" s="1" t="s">
        <v>32</v>
      </c>
      <c r="G104">
        <v>240000</v>
      </c>
      <c r="H104" s="1">
        <v>2</v>
      </c>
      <c r="I104" s="1" t="s">
        <v>28</v>
      </c>
      <c r="J104" s="1" t="s">
        <v>37</v>
      </c>
      <c r="K104" s="15">
        <v>480000</v>
      </c>
      <c r="N104" s="29">
        <f t="shared" si="1"/>
        <v>480000</v>
      </c>
    </row>
    <row r="105" spans="1:14" x14ac:dyDescent="0.2">
      <c r="A105" s="2" t="s">
        <v>142</v>
      </c>
      <c r="B105" s="3">
        <v>45802</v>
      </c>
      <c r="C105" s="10" t="s">
        <v>11</v>
      </c>
      <c r="D105" s="10" t="s">
        <v>12</v>
      </c>
      <c r="E105" s="1" t="s">
        <v>26</v>
      </c>
      <c r="F105" s="1" t="s">
        <v>45</v>
      </c>
      <c r="G105">
        <v>350000</v>
      </c>
      <c r="H105" s="1">
        <v>1</v>
      </c>
      <c r="I105" s="1" t="s">
        <v>28</v>
      </c>
      <c r="J105" s="1" t="s">
        <v>29</v>
      </c>
      <c r="K105" s="15">
        <v>350000</v>
      </c>
      <c r="N105" s="29">
        <f t="shared" si="1"/>
        <v>350000</v>
      </c>
    </row>
    <row r="106" spans="1:14" x14ac:dyDescent="0.2">
      <c r="A106" s="2" t="s">
        <v>143</v>
      </c>
      <c r="B106" s="3">
        <v>45829</v>
      </c>
      <c r="C106" s="10" t="s">
        <v>23</v>
      </c>
      <c r="D106" s="10" t="s">
        <v>12</v>
      </c>
      <c r="E106" s="1" t="s">
        <v>36</v>
      </c>
      <c r="F106" s="1" t="s">
        <v>60</v>
      </c>
      <c r="G106">
        <v>375000</v>
      </c>
      <c r="H106" s="1">
        <v>2</v>
      </c>
      <c r="I106" s="1" t="s">
        <v>39</v>
      </c>
      <c r="J106" s="1" t="s">
        <v>29</v>
      </c>
      <c r="K106" s="15">
        <v>750000</v>
      </c>
      <c r="N106" s="29">
        <f t="shared" si="1"/>
        <v>750000</v>
      </c>
    </row>
    <row r="107" spans="1:14" x14ac:dyDescent="0.2">
      <c r="A107" s="2" t="s">
        <v>144</v>
      </c>
      <c r="B107" s="3">
        <v>45784</v>
      </c>
      <c r="C107" s="10" t="s">
        <v>23</v>
      </c>
      <c r="D107" s="10" t="s">
        <v>12</v>
      </c>
      <c r="E107" s="1" t="s">
        <v>36</v>
      </c>
      <c r="F107" s="1" t="s">
        <v>41</v>
      </c>
      <c r="G107">
        <v>375000</v>
      </c>
      <c r="H107" s="1">
        <v>3</v>
      </c>
      <c r="I107" s="1" t="s">
        <v>28</v>
      </c>
      <c r="J107" s="1" t="s">
        <v>29</v>
      </c>
      <c r="K107" s="15">
        <v>1125000</v>
      </c>
      <c r="N107" s="29">
        <f t="shared" si="1"/>
        <v>1125000</v>
      </c>
    </row>
    <row r="108" spans="1:14" x14ac:dyDescent="0.2">
      <c r="A108" s="2" t="s">
        <v>145</v>
      </c>
      <c r="B108" s="3">
        <v>45747</v>
      </c>
      <c r="C108" s="10" t="s">
        <v>24</v>
      </c>
      <c r="D108" s="10" t="s">
        <v>16</v>
      </c>
      <c r="E108" s="1" t="s">
        <v>26</v>
      </c>
      <c r="F108" s="1" t="s">
        <v>60</v>
      </c>
      <c r="G108">
        <v>240000</v>
      </c>
      <c r="H108" s="1">
        <v>1</v>
      </c>
      <c r="I108" s="1" t="s">
        <v>39</v>
      </c>
      <c r="J108" s="1" t="s">
        <v>37</v>
      </c>
      <c r="K108" s="15">
        <v>240000</v>
      </c>
      <c r="N108" s="29">
        <f t="shared" si="1"/>
        <v>240000</v>
      </c>
    </row>
    <row r="109" spans="1:14" x14ac:dyDescent="0.2">
      <c r="A109" s="2" t="s">
        <v>146</v>
      </c>
      <c r="B109" s="3">
        <v>45806</v>
      </c>
      <c r="C109" s="10" t="s">
        <v>13</v>
      </c>
      <c r="D109" s="10" t="s">
        <v>14</v>
      </c>
      <c r="E109" s="1" t="s">
        <v>36</v>
      </c>
      <c r="F109" s="1" t="s">
        <v>41</v>
      </c>
      <c r="G109">
        <v>275000</v>
      </c>
      <c r="H109" s="1">
        <v>1</v>
      </c>
      <c r="I109" s="1" t="s">
        <v>28</v>
      </c>
      <c r="J109" s="1" t="s">
        <v>29</v>
      </c>
      <c r="K109" s="15">
        <v>275000</v>
      </c>
      <c r="N109" s="29">
        <f t="shared" si="1"/>
        <v>275000</v>
      </c>
    </row>
    <row r="110" spans="1:14" x14ac:dyDescent="0.2">
      <c r="A110" s="2" t="s">
        <v>147</v>
      </c>
      <c r="B110" s="3">
        <v>45692</v>
      </c>
      <c r="C110" s="10" t="s">
        <v>17</v>
      </c>
      <c r="D110" s="10" t="s">
        <v>18</v>
      </c>
      <c r="E110" s="1" t="s">
        <v>36</v>
      </c>
      <c r="F110" s="1" t="s">
        <v>45</v>
      </c>
      <c r="G110">
        <v>300000</v>
      </c>
      <c r="H110" s="1">
        <v>2</v>
      </c>
      <c r="I110" s="1" t="s">
        <v>28</v>
      </c>
      <c r="J110" s="1" t="s">
        <v>37</v>
      </c>
      <c r="K110" s="15">
        <v>600000</v>
      </c>
      <c r="N110" s="29">
        <f t="shared" si="1"/>
        <v>600000</v>
      </c>
    </row>
    <row r="111" spans="1:14" x14ac:dyDescent="0.2">
      <c r="A111" s="2" t="s">
        <v>148</v>
      </c>
      <c r="B111" s="3">
        <v>45679</v>
      </c>
      <c r="C111" s="10" t="s">
        <v>19</v>
      </c>
      <c r="D111" s="10" t="s">
        <v>20</v>
      </c>
      <c r="E111" s="1" t="s">
        <v>47</v>
      </c>
      <c r="F111" s="1" t="s">
        <v>34</v>
      </c>
      <c r="G111">
        <v>250000</v>
      </c>
      <c r="H111" s="1">
        <v>2</v>
      </c>
      <c r="I111" s="1" t="s">
        <v>39</v>
      </c>
      <c r="J111" s="1" t="s">
        <v>29</v>
      </c>
      <c r="K111" s="15">
        <v>500000</v>
      </c>
      <c r="N111" s="29">
        <f t="shared" si="1"/>
        <v>500000</v>
      </c>
    </row>
    <row r="112" spans="1:14" x14ac:dyDescent="0.2">
      <c r="A112" s="2" t="s">
        <v>149</v>
      </c>
      <c r="B112" s="3">
        <v>45737</v>
      </c>
      <c r="C112" s="10" t="s">
        <v>15</v>
      </c>
      <c r="D112" s="10" t="s">
        <v>16</v>
      </c>
      <c r="E112" s="1" t="s">
        <v>47</v>
      </c>
      <c r="F112" s="1" t="s">
        <v>34</v>
      </c>
      <c r="G112">
        <v>225000</v>
      </c>
      <c r="H112" s="1">
        <v>1</v>
      </c>
      <c r="I112" s="1" t="s">
        <v>28</v>
      </c>
      <c r="J112" s="1" t="s">
        <v>29</v>
      </c>
      <c r="K112" s="15">
        <v>225000</v>
      </c>
      <c r="N112" s="29">
        <f t="shared" si="1"/>
        <v>225000</v>
      </c>
    </row>
    <row r="113" spans="1:14" x14ac:dyDescent="0.2">
      <c r="A113" s="2" t="s">
        <v>150</v>
      </c>
      <c r="B113" s="3">
        <v>45710</v>
      </c>
      <c r="C113" s="10" t="s">
        <v>21</v>
      </c>
      <c r="D113" s="10" t="s">
        <v>22</v>
      </c>
      <c r="E113" s="1" t="s">
        <v>26</v>
      </c>
      <c r="F113" s="1" t="s">
        <v>41</v>
      </c>
      <c r="G113">
        <v>75000</v>
      </c>
      <c r="H113" s="1">
        <v>1</v>
      </c>
      <c r="I113" s="1" t="s">
        <v>39</v>
      </c>
      <c r="J113" s="1" t="s">
        <v>37</v>
      </c>
      <c r="K113" s="15">
        <v>75000</v>
      </c>
      <c r="N113" s="29">
        <f t="shared" si="1"/>
        <v>75000</v>
      </c>
    </row>
    <row r="114" spans="1:14" x14ac:dyDescent="0.2">
      <c r="A114" s="2" t="s">
        <v>151</v>
      </c>
      <c r="B114" s="3">
        <v>45710</v>
      </c>
      <c r="C114" s="10" t="s">
        <v>11</v>
      </c>
      <c r="D114" s="10" t="s">
        <v>12</v>
      </c>
      <c r="E114" s="1" t="s">
        <v>31</v>
      </c>
      <c r="F114" s="1" t="s">
        <v>60</v>
      </c>
      <c r="G114">
        <v>350000</v>
      </c>
      <c r="H114" s="1">
        <v>3</v>
      </c>
      <c r="I114" s="1" t="s">
        <v>28</v>
      </c>
      <c r="J114" s="1" t="s">
        <v>29</v>
      </c>
      <c r="K114" s="15">
        <v>1050000</v>
      </c>
      <c r="N114" s="29">
        <f t="shared" si="1"/>
        <v>1050000</v>
      </c>
    </row>
    <row r="115" spans="1:14" x14ac:dyDescent="0.2">
      <c r="A115" s="2" t="s">
        <v>152</v>
      </c>
      <c r="B115" s="3">
        <v>45837</v>
      </c>
      <c r="C115" s="10" t="s">
        <v>15</v>
      </c>
      <c r="D115" s="10" t="s">
        <v>16</v>
      </c>
      <c r="E115" s="1" t="s">
        <v>26</v>
      </c>
      <c r="F115" s="1" t="s">
        <v>41</v>
      </c>
      <c r="G115">
        <v>225000</v>
      </c>
      <c r="H115" s="1">
        <v>1</v>
      </c>
      <c r="I115" s="1" t="s">
        <v>39</v>
      </c>
      <c r="J115" s="1" t="s">
        <v>29</v>
      </c>
      <c r="K115" s="15">
        <v>225000</v>
      </c>
      <c r="N115" s="29">
        <f t="shared" si="1"/>
        <v>225000</v>
      </c>
    </row>
    <row r="116" spans="1:14" x14ac:dyDescent="0.2">
      <c r="A116" s="2" t="s">
        <v>153</v>
      </c>
      <c r="B116" s="3">
        <v>45695</v>
      </c>
      <c r="C116" s="10" t="s">
        <v>17</v>
      </c>
      <c r="D116" s="10" t="s">
        <v>18</v>
      </c>
      <c r="E116" s="1" t="s">
        <v>26</v>
      </c>
      <c r="F116" s="1" t="s">
        <v>32</v>
      </c>
      <c r="G116">
        <v>300000</v>
      </c>
      <c r="H116" s="1">
        <v>1</v>
      </c>
      <c r="I116" s="1" t="s">
        <v>39</v>
      </c>
      <c r="J116" s="1" t="s">
        <v>37</v>
      </c>
      <c r="K116" s="15">
        <v>300000</v>
      </c>
      <c r="N116" s="29">
        <f t="shared" si="1"/>
        <v>300000</v>
      </c>
    </row>
    <row r="117" spans="1:14" x14ac:dyDescent="0.2">
      <c r="A117" s="2" t="s">
        <v>154</v>
      </c>
      <c r="B117" s="3">
        <v>45707</v>
      </c>
      <c r="C117" s="10" t="s">
        <v>13</v>
      </c>
      <c r="D117" s="10" t="s">
        <v>14</v>
      </c>
      <c r="E117" s="1" t="s">
        <v>31</v>
      </c>
      <c r="F117" s="1" t="s">
        <v>45</v>
      </c>
      <c r="G117">
        <v>275000</v>
      </c>
      <c r="H117" s="1">
        <v>2</v>
      </c>
      <c r="I117" s="1" t="s">
        <v>39</v>
      </c>
      <c r="J117" s="1" t="s">
        <v>29</v>
      </c>
      <c r="K117" s="15">
        <v>550000</v>
      </c>
      <c r="N117" s="29">
        <f t="shared" si="1"/>
        <v>550000</v>
      </c>
    </row>
    <row r="118" spans="1:14" x14ac:dyDescent="0.2">
      <c r="A118" s="2" t="s">
        <v>155</v>
      </c>
      <c r="B118" s="3">
        <v>45729</v>
      </c>
      <c r="C118" s="10" t="s">
        <v>23</v>
      </c>
      <c r="D118" s="10" t="s">
        <v>12</v>
      </c>
      <c r="E118" s="1" t="s">
        <v>47</v>
      </c>
      <c r="F118" s="1" t="s">
        <v>45</v>
      </c>
      <c r="G118">
        <v>375000</v>
      </c>
      <c r="H118" s="1">
        <v>1</v>
      </c>
      <c r="I118" s="1" t="s">
        <v>28</v>
      </c>
      <c r="J118" s="1" t="s">
        <v>37</v>
      </c>
      <c r="K118" s="15">
        <v>375000</v>
      </c>
      <c r="N118" s="29">
        <f t="shared" si="1"/>
        <v>375000</v>
      </c>
    </row>
    <row r="119" spans="1:14" x14ac:dyDescent="0.2">
      <c r="A119" s="2" t="s">
        <v>156</v>
      </c>
      <c r="B119" s="3">
        <v>45690</v>
      </c>
      <c r="C119" s="10" t="s">
        <v>17</v>
      </c>
      <c r="D119" s="10" t="s">
        <v>18</v>
      </c>
      <c r="E119" s="1" t="s">
        <v>47</v>
      </c>
      <c r="F119" s="1" t="s">
        <v>32</v>
      </c>
      <c r="G119">
        <v>300000</v>
      </c>
      <c r="H119" s="1">
        <v>2</v>
      </c>
      <c r="I119" s="1" t="s">
        <v>39</v>
      </c>
      <c r="J119" s="1" t="s">
        <v>29</v>
      </c>
      <c r="K119" s="15">
        <v>600000</v>
      </c>
      <c r="N119" s="29">
        <f t="shared" si="1"/>
        <v>600000</v>
      </c>
    </row>
    <row r="120" spans="1:14" x14ac:dyDescent="0.2">
      <c r="A120" s="2" t="s">
        <v>157</v>
      </c>
      <c r="B120" s="3">
        <v>45713</v>
      </c>
      <c r="C120" s="10" t="s">
        <v>21</v>
      </c>
      <c r="D120" s="10" t="s">
        <v>22</v>
      </c>
      <c r="E120" s="1" t="s">
        <v>36</v>
      </c>
      <c r="F120" s="1" t="s">
        <v>41</v>
      </c>
      <c r="G120">
        <v>75000</v>
      </c>
      <c r="H120" s="1">
        <v>2</v>
      </c>
      <c r="I120" s="1" t="s">
        <v>39</v>
      </c>
      <c r="J120" s="1" t="s">
        <v>29</v>
      </c>
      <c r="K120" s="15">
        <v>150000</v>
      </c>
      <c r="N120" s="29">
        <f t="shared" si="1"/>
        <v>150000</v>
      </c>
    </row>
    <row r="121" spans="1:14" x14ac:dyDescent="0.2">
      <c r="A121" s="2" t="s">
        <v>158</v>
      </c>
      <c r="B121" s="3">
        <v>45659</v>
      </c>
      <c r="C121" s="10" t="s">
        <v>11</v>
      </c>
      <c r="D121" s="10" t="s">
        <v>12</v>
      </c>
      <c r="E121" s="1" t="s">
        <v>36</v>
      </c>
      <c r="F121" s="1" t="s">
        <v>41</v>
      </c>
      <c r="G121">
        <v>350000</v>
      </c>
      <c r="H121" s="1">
        <v>1</v>
      </c>
      <c r="I121" s="1" t="s">
        <v>28</v>
      </c>
      <c r="J121" s="1" t="s">
        <v>37</v>
      </c>
      <c r="K121" s="15">
        <v>350000</v>
      </c>
      <c r="N121" s="29">
        <f t="shared" si="1"/>
        <v>350000</v>
      </c>
    </row>
    <row r="122" spans="1:14" x14ac:dyDescent="0.2">
      <c r="A122" s="2" t="s">
        <v>159</v>
      </c>
      <c r="B122" s="3">
        <v>45776</v>
      </c>
      <c r="C122" s="10" t="s">
        <v>21</v>
      </c>
      <c r="D122" s="10" t="s">
        <v>22</v>
      </c>
      <c r="E122" s="1" t="s">
        <v>47</v>
      </c>
      <c r="F122" s="1" t="s">
        <v>27</v>
      </c>
      <c r="G122">
        <v>75000</v>
      </c>
      <c r="H122" s="1">
        <v>3</v>
      </c>
      <c r="I122" s="1" t="s">
        <v>39</v>
      </c>
      <c r="J122" s="1" t="s">
        <v>29</v>
      </c>
      <c r="K122" s="15">
        <v>225000</v>
      </c>
      <c r="N122" s="29">
        <f t="shared" si="1"/>
        <v>225000</v>
      </c>
    </row>
    <row r="123" spans="1:14" x14ac:dyDescent="0.2">
      <c r="A123" s="2" t="s">
        <v>160</v>
      </c>
      <c r="B123" s="3">
        <v>45795</v>
      </c>
      <c r="C123" s="10" t="s">
        <v>24</v>
      </c>
      <c r="D123" s="10" t="s">
        <v>16</v>
      </c>
      <c r="E123" s="1" t="s">
        <v>31</v>
      </c>
      <c r="F123" s="1" t="s">
        <v>60</v>
      </c>
      <c r="G123">
        <v>240000</v>
      </c>
      <c r="H123" s="1">
        <v>1</v>
      </c>
      <c r="I123" s="1" t="s">
        <v>39</v>
      </c>
      <c r="J123" s="1" t="s">
        <v>37</v>
      </c>
      <c r="K123" s="15">
        <v>240000</v>
      </c>
      <c r="N123" s="29">
        <f t="shared" si="1"/>
        <v>240000</v>
      </c>
    </row>
    <row r="124" spans="1:14" x14ac:dyDescent="0.2">
      <c r="A124" s="2" t="s">
        <v>161</v>
      </c>
      <c r="B124" s="3">
        <v>45823</v>
      </c>
      <c r="C124" s="10" t="s">
        <v>17</v>
      </c>
      <c r="D124" s="10" t="s">
        <v>18</v>
      </c>
      <c r="E124" s="1" t="s">
        <v>36</v>
      </c>
      <c r="F124" s="1" t="s">
        <v>45</v>
      </c>
      <c r="G124">
        <v>300000</v>
      </c>
      <c r="H124" s="1">
        <v>2</v>
      </c>
      <c r="I124" s="1" t="s">
        <v>39</v>
      </c>
      <c r="J124" s="1" t="s">
        <v>37</v>
      </c>
      <c r="K124" s="15">
        <v>600000</v>
      </c>
      <c r="N124" s="29">
        <f t="shared" si="1"/>
        <v>600000</v>
      </c>
    </row>
    <row r="125" spans="1:14" x14ac:dyDescent="0.2">
      <c r="A125" s="2" t="s">
        <v>162</v>
      </c>
      <c r="B125" s="3">
        <v>45824</v>
      </c>
      <c r="C125" s="10" t="s">
        <v>21</v>
      </c>
      <c r="D125" s="10" t="s">
        <v>22</v>
      </c>
      <c r="E125" s="1" t="s">
        <v>36</v>
      </c>
      <c r="F125" s="1" t="s">
        <v>34</v>
      </c>
      <c r="G125">
        <v>75000</v>
      </c>
      <c r="H125" s="1">
        <v>2</v>
      </c>
      <c r="I125" s="1" t="s">
        <v>28</v>
      </c>
      <c r="J125" s="1" t="s">
        <v>29</v>
      </c>
      <c r="K125" s="15">
        <v>150000</v>
      </c>
      <c r="N125" s="29">
        <f t="shared" si="1"/>
        <v>150000</v>
      </c>
    </row>
    <row r="126" spans="1:14" x14ac:dyDescent="0.2">
      <c r="A126" s="2" t="s">
        <v>163</v>
      </c>
      <c r="B126" s="3">
        <v>45669</v>
      </c>
      <c r="C126" s="10" t="s">
        <v>24</v>
      </c>
      <c r="D126" s="10" t="s">
        <v>16</v>
      </c>
      <c r="E126" s="1" t="s">
        <v>47</v>
      </c>
      <c r="F126" s="1" t="s">
        <v>32</v>
      </c>
      <c r="G126">
        <v>240000</v>
      </c>
      <c r="H126" s="1">
        <v>2</v>
      </c>
      <c r="I126" s="1" t="s">
        <v>39</v>
      </c>
      <c r="J126" s="1" t="s">
        <v>37</v>
      </c>
      <c r="K126" s="15">
        <v>480000</v>
      </c>
      <c r="N126" s="29">
        <f t="shared" si="1"/>
        <v>480000</v>
      </c>
    </row>
    <row r="127" spans="1:14" x14ac:dyDescent="0.2">
      <c r="A127" s="2" t="s">
        <v>164</v>
      </c>
      <c r="B127" s="3">
        <v>45706</v>
      </c>
      <c r="C127" s="10" t="s">
        <v>13</v>
      </c>
      <c r="D127" s="10" t="s">
        <v>14</v>
      </c>
      <c r="E127" s="1" t="s">
        <v>36</v>
      </c>
      <c r="F127" s="1" t="s">
        <v>41</v>
      </c>
      <c r="G127">
        <v>275000</v>
      </c>
      <c r="H127" s="1">
        <v>2</v>
      </c>
      <c r="I127" s="1" t="s">
        <v>28</v>
      </c>
      <c r="J127" s="1" t="s">
        <v>29</v>
      </c>
      <c r="K127" s="15">
        <v>550000</v>
      </c>
      <c r="N127" s="29">
        <f t="shared" si="1"/>
        <v>550000</v>
      </c>
    </row>
    <row r="128" spans="1:14" x14ac:dyDescent="0.2">
      <c r="A128" s="2" t="s">
        <v>165</v>
      </c>
      <c r="B128" s="3">
        <v>45774</v>
      </c>
      <c r="C128" s="10" t="s">
        <v>21</v>
      </c>
      <c r="D128" s="10" t="s">
        <v>22</v>
      </c>
      <c r="E128" s="1" t="s">
        <v>31</v>
      </c>
      <c r="F128" s="1" t="s">
        <v>41</v>
      </c>
      <c r="G128">
        <v>75000</v>
      </c>
      <c r="H128" s="1">
        <v>3</v>
      </c>
      <c r="I128" s="1" t="s">
        <v>39</v>
      </c>
      <c r="J128" s="1" t="s">
        <v>29</v>
      </c>
      <c r="K128" s="15">
        <v>225000</v>
      </c>
      <c r="N128" s="29">
        <f t="shared" si="1"/>
        <v>225000</v>
      </c>
    </row>
    <row r="129" spans="1:14" x14ac:dyDescent="0.2">
      <c r="A129" s="2" t="s">
        <v>166</v>
      </c>
      <c r="B129" s="3">
        <v>45681</v>
      </c>
      <c r="C129" s="10" t="s">
        <v>23</v>
      </c>
      <c r="D129" s="10" t="s">
        <v>12</v>
      </c>
      <c r="E129" s="1" t="s">
        <v>47</v>
      </c>
      <c r="F129" s="1" t="s">
        <v>41</v>
      </c>
      <c r="G129">
        <v>375000</v>
      </c>
      <c r="H129" s="1">
        <v>1</v>
      </c>
      <c r="I129" s="1" t="s">
        <v>28</v>
      </c>
      <c r="J129" s="1" t="s">
        <v>29</v>
      </c>
      <c r="K129" s="15">
        <v>375000</v>
      </c>
      <c r="N129" s="29">
        <f t="shared" si="1"/>
        <v>375000</v>
      </c>
    </row>
    <row r="130" spans="1:14" x14ac:dyDescent="0.2">
      <c r="A130" s="2" t="s">
        <v>167</v>
      </c>
      <c r="B130" s="3">
        <v>45742</v>
      </c>
      <c r="C130" s="10" t="s">
        <v>17</v>
      </c>
      <c r="D130" s="10" t="s">
        <v>18</v>
      </c>
      <c r="E130" s="1" t="s">
        <v>36</v>
      </c>
      <c r="F130" s="1" t="s">
        <v>41</v>
      </c>
      <c r="G130">
        <v>300000</v>
      </c>
      <c r="H130" s="1">
        <v>3</v>
      </c>
      <c r="I130" s="1" t="s">
        <v>28</v>
      </c>
      <c r="J130" s="1" t="s">
        <v>29</v>
      </c>
      <c r="K130" s="15">
        <v>900000</v>
      </c>
      <c r="N130" s="29">
        <f t="shared" si="1"/>
        <v>900000</v>
      </c>
    </row>
    <row r="131" spans="1:14" x14ac:dyDescent="0.2">
      <c r="A131" s="2" t="s">
        <v>168</v>
      </c>
      <c r="B131" s="3">
        <v>45680</v>
      </c>
      <c r="C131" s="10" t="s">
        <v>11</v>
      </c>
      <c r="D131" s="10" t="s">
        <v>12</v>
      </c>
      <c r="E131" s="1" t="s">
        <v>36</v>
      </c>
      <c r="F131" s="1" t="s">
        <v>60</v>
      </c>
      <c r="G131">
        <v>350000</v>
      </c>
      <c r="H131" s="1">
        <v>2</v>
      </c>
      <c r="I131" s="1" t="s">
        <v>39</v>
      </c>
      <c r="J131" s="1" t="s">
        <v>37</v>
      </c>
      <c r="K131" s="15">
        <v>700000</v>
      </c>
      <c r="N131" s="29">
        <f t="shared" ref="N131:N194" si="2">G131*H131</f>
        <v>700000</v>
      </c>
    </row>
    <row r="132" spans="1:14" x14ac:dyDescent="0.2">
      <c r="A132" s="2" t="s">
        <v>169</v>
      </c>
      <c r="B132" s="3">
        <v>45790</v>
      </c>
      <c r="C132" s="10" t="s">
        <v>21</v>
      </c>
      <c r="D132" s="10" t="s">
        <v>22</v>
      </c>
      <c r="E132" s="1" t="s">
        <v>31</v>
      </c>
      <c r="F132" s="1" t="s">
        <v>45</v>
      </c>
      <c r="G132">
        <v>75000</v>
      </c>
      <c r="H132" s="1">
        <v>1</v>
      </c>
      <c r="I132" s="1" t="s">
        <v>28</v>
      </c>
      <c r="J132" s="1" t="s">
        <v>29</v>
      </c>
      <c r="K132" s="15">
        <v>75000</v>
      </c>
      <c r="N132" s="29">
        <f t="shared" si="2"/>
        <v>75000</v>
      </c>
    </row>
    <row r="133" spans="1:14" x14ac:dyDescent="0.2">
      <c r="A133" s="2" t="s">
        <v>170</v>
      </c>
      <c r="B133" s="3">
        <v>45773</v>
      </c>
      <c r="C133" s="10" t="s">
        <v>11</v>
      </c>
      <c r="D133" s="10" t="s">
        <v>12</v>
      </c>
      <c r="E133" s="1" t="s">
        <v>26</v>
      </c>
      <c r="F133" s="1" t="s">
        <v>32</v>
      </c>
      <c r="G133">
        <v>350000</v>
      </c>
      <c r="H133" s="1">
        <v>3</v>
      </c>
      <c r="I133" s="1" t="s">
        <v>28</v>
      </c>
      <c r="J133" s="1" t="s">
        <v>29</v>
      </c>
      <c r="K133" s="15">
        <v>1050000</v>
      </c>
      <c r="N133" s="29">
        <f t="shared" si="2"/>
        <v>1050000</v>
      </c>
    </row>
    <row r="134" spans="1:14" x14ac:dyDescent="0.2">
      <c r="A134" s="2" t="s">
        <v>171</v>
      </c>
      <c r="B134" s="3">
        <v>45749</v>
      </c>
      <c r="C134" s="10" t="s">
        <v>17</v>
      </c>
      <c r="D134" s="10" t="s">
        <v>18</v>
      </c>
      <c r="E134" s="1" t="s">
        <v>36</v>
      </c>
      <c r="F134" s="1" t="s">
        <v>60</v>
      </c>
      <c r="G134">
        <v>300000</v>
      </c>
      <c r="H134" s="1">
        <v>3</v>
      </c>
      <c r="I134" s="1" t="s">
        <v>39</v>
      </c>
      <c r="J134" s="1" t="s">
        <v>29</v>
      </c>
      <c r="K134" s="15">
        <v>900000</v>
      </c>
      <c r="N134" s="29">
        <f t="shared" si="2"/>
        <v>900000</v>
      </c>
    </row>
    <row r="135" spans="1:14" x14ac:dyDescent="0.2">
      <c r="A135" s="2" t="s">
        <v>172</v>
      </c>
      <c r="B135" s="3">
        <v>45789</v>
      </c>
      <c r="C135" s="10" t="s">
        <v>21</v>
      </c>
      <c r="D135" s="10" t="s">
        <v>22</v>
      </c>
      <c r="E135" s="1" t="s">
        <v>36</v>
      </c>
      <c r="F135" s="1" t="s">
        <v>32</v>
      </c>
      <c r="G135">
        <v>75000</v>
      </c>
      <c r="H135" s="1">
        <v>2</v>
      </c>
      <c r="I135" s="1" t="s">
        <v>28</v>
      </c>
      <c r="J135" s="1" t="s">
        <v>29</v>
      </c>
      <c r="K135" s="15">
        <v>150000</v>
      </c>
      <c r="N135" s="29">
        <f t="shared" si="2"/>
        <v>150000</v>
      </c>
    </row>
    <row r="136" spans="1:14" x14ac:dyDescent="0.2">
      <c r="A136" s="2" t="s">
        <v>173</v>
      </c>
      <c r="B136" s="3">
        <v>45686</v>
      </c>
      <c r="C136" s="10" t="s">
        <v>13</v>
      </c>
      <c r="D136" s="10" t="s">
        <v>14</v>
      </c>
      <c r="E136" s="1" t="s">
        <v>36</v>
      </c>
      <c r="F136" s="1" t="s">
        <v>45</v>
      </c>
      <c r="G136">
        <v>275000</v>
      </c>
      <c r="H136" s="1">
        <v>2</v>
      </c>
      <c r="I136" s="1" t="s">
        <v>28</v>
      </c>
      <c r="J136" s="1" t="s">
        <v>37</v>
      </c>
      <c r="K136" s="15">
        <v>550000</v>
      </c>
      <c r="N136" s="29">
        <f t="shared" si="2"/>
        <v>550000</v>
      </c>
    </row>
    <row r="137" spans="1:14" x14ac:dyDescent="0.2">
      <c r="A137" s="2" t="s">
        <v>174</v>
      </c>
      <c r="B137" s="3">
        <v>45748</v>
      </c>
      <c r="C137" s="10" t="s">
        <v>13</v>
      </c>
      <c r="D137" s="10" t="s">
        <v>14</v>
      </c>
      <c r="E137" s="1" t="s">
        <v>36</v>
      </c>
      <c r="F137" s="1" t="s">
        <v>32</v>
      </c>
      <c r="G137">
        <v>275000</v>
      </c>
      <c r="H137" s="1">
        <v>3</v>
      </c>
      <c r="I137" s="1" t="s">
        <v>28</v>
      </c>
      <c r="J137" s="1" t="s">
        <v>37</v>
      </c>
      <c r="K137" s="15">
        <v>825000</v>
      </c>
      <c r="N137" s="29">
        <f t="shared" si="2"/>
        <v>825000</v>
      </c>
    </row>
    <row r="138" spans="1:14" x14ac:dyDescent="0.2">
      <c r="A138" s="2" t="s">
        <v>175</v>
      </c>
      <c r="B138" s="3">
        <v>45683</v>
      </c>
      <c r="C138" s="10" t="s">
        <v>23</v>
      </c>
      <c r="D138" s="10" t="s">
        <v>12</v>
      </c>
      <c r="E138" s="1" t="s">
        <v>31</v>
      </c>
      <c r="F138" s="1" t="s">
        <v>27</v>
      </c>
      <c r="G138">
        <v>375000</v>
      </c>
      <c r="H138" s="1">
        <v>3</v>
      </c>
      <c r="I138" s="1" t="s">
        <v>28</v>
      </c>
      <c r="J138" s="1" t="s">
        <v>37</v>
      </c>
      <c r="K138" s="15">
        <v>1125000</v>
      </c>
      <c r="N138" s="29">
        <f t="shared" si="2"/>
        <v>1125000</v>
      </c>
    </row>
    <row r="139" spans="1:14" x14ac:dyDescent="0.2">
      <c r="A139" s="2" t="s">
        <v>176</v>
      </c>
      <c r="B139" s="3">
        <v>45768</v>
      </c>
      <c r="C139" s="10" t="s">
        <v>17</v>
      </c>
      <c r="D139" s="10" t="s">
        <v>18</v>
      </c>
      <c r="E139" s="1" t="s">
        <v>31</v>
      </c>
      <c r="F139" s="1" t="s">
        <v>45</v>
      </c>
      <c r="G139">
        <v>300000</v>
      </c>
      <c r="H139" s="1">
        <v>3</v>
      </c>
      <c r="I139" s="1" t="s">
        <v>39</v>
      </c>
      <c r="J139" s="1" t="s">
        <v>37</v>
      </c>
      <c r="K139" s="15">
        <v>900000</v>
      </c>
      <c r="N139" s="29">
        <f t="shared" si="2"/>
        <v>900000</v>
      </c>
    </row>
    <row r="140" spans="1:14" x14ac:dyDescent="0.2">
      <c r="A140" s="2" t="s">
        <v>177</v>
      </c>
      <c r="B140" s="3">
        <v>45691</v>
      </c>
      <c r="C140" s="10" t="s">
        <v>21</v>
      </c>
      <c r="D140" s="10" t="s">
        <v>22</v>
      </c>
      <c r="E140" s="1" t="s">
        <v>31</v>
      </c>
      <c r="F140" s="1" t="s">
        <v>45</v>
      </c>
      <c r="G140">
        <v>75000</v>
      </c>
      <c r="H140" s="1">
        <v>2</v>
      </c>
      <c r="I140" s="1" t="s">
        <v>39</v>
      </c>
      <c r="J140" s="1" t="s">
        <v>29</v>
      </c>
      <c r="K140" s="15">
        <v>150000</v>
      </c>
      <c r="N140" s="29">
        <f t="shared" si="2"/>
        <v>150000</v>
      </c>
    </row>
    <row r="141" spans="1:14" x14ac:dyDescent="0.2">
      <c r="A141" s="2" t="s">
        <v>178</v>
      </c>
      <c r="B141" s="3">
        <v>45801</v>
      </c>
      <c r="C141" s="10" t="s">
        <v>23</v>
      </c>
      <c r="D141" s="10" t="s">
        <v>12</v>
      </c>
      <c r="E141" s="1" t="s">
        <v>47</v>
      </c>
      <c r="F141" s="1" t="s">
        <v>45</v>
      </c>
      <c r="G141">
        <v>375000</v>
      </c>
      <c r="H141" s="1">
        <v>1</v>
      </c>
      <c r="I141" s="1" t="s">
        <v>28</v>
      </c>
      <c r="J141" s="1" t="s">
        <v>29</v>
      </c>
      <c r="K141" s="15">
        <v>375000</v>
      </c>
      <c r="N141" s="29">
        <f t="shared" si="2"/>
        <v>375000</v>
      </c>
    </row>
    <row r="142" spans="1:14" x14ac:dyDescent="0.2">
      <c r="A142" s="2" t="s">
        <v>179</v>
      </c>
      <c r="B142" s="3">
        <v>45791</v>
      </c>
      <c r="C142" s="10" t="s">
        <v>11</v>
      </c>
      <c r="D142" s="10" t="s">
        <v>12</v>
      </c>
      <c r="E142" s="1" t="s">
        <v>36</v>
      </c>
      <c r="F142" s="1" t="s">
        <v>41</v>
      </c>
      <c r="G142">
        <v>350000</v>
      </c>
      <c r="H142" s="1">
        <v>1</v>
      </c>
      <c r="I142" s="1" t="s">
        <v>39</v>
      </c>
      <c r="J142" s="1" t="s">
        <v>37</v>
      </c>
      <c r="K142" s="15">
        <v>350000</v>
      </c>
      <c r="N142" s="29">
        <f t="shared" si="2"/>
        <v>350000</v>
      </c>
    </row>
    <row r="143" spans="1:14" x14ac:dyDescent="0.2">
      <c r="A143" s="2" t="s">
        <v>180</v>
      </c>
      <c r="B143" s="3">
        <v>45731</v>
      </c>
      <c r="C143" s="10" t="s">
        <v>17</v>
      </c>
      <c r="D143" s="10" t="s">
        <v>18</v>
      </c>
      <c r="E143" s="1" t="s">
        <v>36</v>
      </c>
      <c r="F143" s="1" t="s">
        <v>32</v>
      </c>
      <c r="G143">
        <v>300000</v>
      </c>
      <c r="H143" s="1">
        <v>2</v>
      </c>
      <c r="I143" s="1" t="s">
        <v>28</v>
      </c>
      <c r="J143" s="1" t="s">
        <v>29</v>
      </c>
      <c r="K143" s="15">
        <v>600000</v>
      </c>
      <c r="N143" s="29">
        <f t="shared" si="2"/>
        <v>600000</v>
      </c>
    </row>
    <row r="144" spans="1:14" x14ac:dyDescent="0.2">
      <c r="A144" s="2" t="s">
        <v>181</v>
      </c>
      <c r="B144" s="3">
        <v>45750</v>
      </c>
      <c r="C144" s="10" t="s">
        <v>13</v>
      </c>
      <c r="D144" s="10" t="s">
        <v>14</v>
      </c>
      <c r="E144" s="1" t="s">
        <v>31</v>
      </c>
      <c r="F144" s="1" t="s">
        <v>41</v>
      </c>
      <c r="G144">
        <v>275000</v>
      </c>
      <c r="H144" s="1">
        <v>3</v>
      </c>
      <c r="I144" s="1" t="s">
        <v>28</v>
      </c>
      <c r="J144" s="1" t="s">
        <v>37</v>
      </c>
      <c r="K144" s="15">
        <v>825000</v>
      </c>
      <c r="N144" s="29">
        <f t="shared" si="2"/>
        <v>825000</v>
      </c>
    </row>
    <row r="145" spans="1:14" x14ac:dyDescent="0.2">
      <c r="A145" s="2" t="s">
        <v>182</v>
      </c>
      <c r="B145" s="3">
        <v>45828</v>
      </c>
      <c r="C145" s="10" t="s">
        <v>11</v>
      </c>
      <c r="D145" s="10" t="s">
        <v>12</v>
      </c>
      <c r="E145" s="1" t="s">
        <v>31</v>
      </c>
      <c r="F145" s="1" t="s">
        <v>34</v>
      </c>
      <c r="G145">
        <v>350000</v>
      </c>
      <c r="H145" s="1">
        <v>2</v>
      </c>
      <c r="I145" s="1" t="s">
        <v>39</v>
      </c>
      <c r="J145" s="1" t="s">
        <v>29</v>
      </c>
      <c r="K145" s="15">
        <v>700000</v>
      </c>
      <c r="N145" s="29">
        <f t="shared" si="2"/>
        <v>700000</v>
      </c>
    </row>
    <row r="146" spans="1:14" x14ac:dyDescent="0.2">
      <c r="A146" s="2" t="s">
        <v>183</v>
      </c>
      <c r="B146" s="3">
        <v>45704</v>
      </c>
      <c r="C146" s="10" t="s">
        <v>17</v>
      </c>
      <c r="D146" s="10" t="s">
        <v>18</v>
      </c>
      <c r="E146" s="1" t="s">
        <v>26</v>
      </c>
      <c r="F146" s="1" t="s">
        <v>60</v>
      </c>
      <c r="G146">
        <v>300000</v>
      </c>
      <c r="H146" s="1">
        <v>1</v>
      </c>
      <c r="I146" s="1" t="s">
        <v>28</v>
      </c>
      <c r="J146" s="1" t="s">
        <v>29</v>
      </c>
      <c r="K146" s="15">
        <v>300000</v>
      </c>
      <c r="N146" s="29">
        <f t="shared" si="2"/>
        <v>300000</v>
      </c>
    </row>
    <row r="147" spans="1:14" x14ac:dyDescent="0.2">
      <c r="A147" s="2" t="s">
        <v>184</v>
      </c>
      <c r="B147" s="3">
        <v>45782</v>
      </c>
      <c r="C147" s="10" t="s">
        <v>19</v>
      </c>
      <c r="D147" s="10" t="s">
        <v>20</v>
      </c>
      <c r="E147" s="1" t="s">
        <v>47</v>
      </c>
      <c r="F147" s="1" t="s">
        <v>32</v>
      </c>
      <c r="G147">
        <v>250000</v>
      </c>
      <c r="H147" s="1">
        <v>3</v>
      </c>
      <c r="I147" s="1" t="s">
        <v>28</v>
      </c>
      <c r="J147" s="1" t="s">
        <v>37</v>
      </c>
      <c r="K147" s="15">
        <v>750000</v>
      </c>
      <c r="N147" s="29">
        <f t="shared" si="2"/>
        <v>750000</v>
      </c>
    </row>
    <row r="148" spans="1:14" x14ac:dyDescent="0.2">
      <c r="A148" s="2" t="s">
        <v>185</v>
      </c>
      <c r="B148" s="3">
        <v>45788</v>
      </c>
      <c r="C148" s="10" t="s">
        <v>11</v>
      </c>
      <c r="D148" s="10" t="s">
        <v>12</v>
      </c>
      <c r="E148" s="1" t="s">
        <v>36</v>
      </c>
      <c r="F148" s="1" t="s">
        <v>32</v>
      </c>
      <c r="G148">
        <v>350000</v>
      </c>
      <c r="H148" s="1">
        <v>1</v>
      </c>
      <c r="I148" s="1" t="s">
        <v>39</v>
      </c>
      <c r="J148" s="1" t="s">
        <v>37</v>
      </c>
      <c r="K148" s="15">
        <v>350000</v>
      </c>
      <c r="N148" s="29">
        <f t="shared" si="2"/>
        <v>350000</v>
      </c>
    </row>
    <row r="149" spans="1:14" x14ac:dyDescent="0.2">
      <c r="A149" s="2" t="s">
        <v>186</v>
      </c>
      <c r="B149" s="3">
        <v>45677</v>
      </c>
      <c r="C149" s="10" t="s">
        <v>15</v>
      </c>
      <c r="D149" s="10" t="s">
        <v>16</v>
      </c>
      <c r="E149" s="1" t="s">
        <v>47</v>
      </c>
      <c r="F149" s="1" t="s">
        <v>45</v>
      </c>
      <c r="G149">
        <v>225000</v>
      </c>
      <c r="H149" s="1">
        <v>1</v>
      </c>
      <c r="I149" s="1" t="s">
        <v>28</v>
      </c>
      <c r="J149" s="1" t="s">
        <v>37</v>
      </c>
      <c r="K149" s="15">
        <v>225000</v>
      </c>
      <c r="N149" s="29">
        <f t="shared" si="2"/>
        <v>225000</v>
      </c>
    </row>
    <row r="150" spans="1:14" x14ac:dyDescent="0.2">
      <c r="A150" s="2" t="s">
        <v>187</v>
      </c>
      <c r="B150" s="3">
        <v>45771</v>
      </c>
      <c r="C150" s="10" t="s">
        <v>23</v>
      </c>
      <c r="D150" s="10" t="s">
        <v>12</v>
      </c>
      <c r="E150" s="1" t="s">
        <v>47</v>
      </c>
      <c r="F150" s="1" t="s">
        <v>41</v>
      </c>
      <c r="G150">
        <v>375000</v>
      </c>
      <c r="H150" s="1">
        <v>2</v>
      </c>
      <c r="I150" s="1" t="s">
        <v>39</v>
      </c>
      <c r="J150" s="1" t="s">
        <v>29</v>
      </c>
      <c r="K150" s="15">
        <v>750000</v>
      </c>
      <c r="N150" s="29">
        <f t="shared" si="2"/>
        <v>750000</v>
      </c>
    </row>
    <row r="151" spans="1:14" x14ac:dyDescent="0.2">
      <c r="A151" s="2" t="s">
        <v>188</v>
      </c>
      <c r="B151" s="3">
        <v>45817</v>
      </c>
      <c r="C151" s="10" t="s">
        <v>15</v>
      </c>
      <c r="D151" s="10" t="s">
        <v>16</v>
      </c>
      <c r="E151" s="1" t="s">
        <v>26</v>
      </c>
      <c r="F151" s="1" t="s">
        <v>32</v>
      </c>
      <c r="G151">
        <v>225000</v>
      </c>
      <c r="H151" s="1">
        <v>1</v>
      </c>
      <c r="I151" s="1" t="s">
        <v>28</v>
      </c>
      <c r="J151" s="1" t="s">
        <v>37</v>
      </c>
      <c r="K151" s="15">
        <v>225000</v>
      </c>
      <c r="N151" s="29">
        <f t="shared" si="2"/>
        <v>225000</v>
      </c>
    </row>
    <row r="152" spans="1:14" x14ac:dyDescent="0.2">
      <c r="A152" s="2" t="s">
        <v>189</v>
      </c>
      <c r="B152" s="3">
        <v>45796</v>
      </c>
      <c r="C152" s="10" t="s">
        <v>11</v>
      </c>
      <c r="D152" s="10" t="s">
        <v>12</v>
      </c>
      <c r="E152" s="1" t="s">
        <v>26</v>
      </c>
      <c r="F152" s="1" t="s">
        <v>34</v>
      </c>
      <c r="G152">
        <v>350000</v>
      </c>
      <c r="H152" s="1">
        <v>2</v>
      </c>
      <c r="I152" s="1" t="s">
        <v>39</v>
      </c>
      <c r="J152" s="1" t="s">
        <v>37</v>
      </c>
      <c r="K152" s="15">
        <v>700000</v>
      </c>
      <c r="N152" s="29">
        <f t="shared" si="2"/>
        <v>700000</v>
      </c>
    </row>
    <row r="153" spans="1:14" x14ac:dyDescent="0.2">
      <c r="A153" s="2" t="s">
        <v>190</v>
      </c>
      <c r="B153" s="3">
        <v>45784</v>
      </c>
      <c r="C153" s="10" t="s">
        <v>21</v>
      </c>
      <c r="D153" s="10" t="s">
        <v>22</v>
      </c>
      <c r="E153" s="1" t="s">
        <v>36</v>
      </c>
      <c r="F153" s="1" t="s">
        <v>60</v>
      </c>
      <c r="G153">
        <v>75000</v>
      </c>
      <c r="H153" s="1">
        <v>2</v>
      </c>
      <c r="I153" s="1" t="s">
        <v>28</v>
      </c>
      <c r="J153" s="1" t="s">
        <v>37</v>
      </c>
      <c r="K153" s="15">
        <v>150000</v>
      </c>
      <c r="N153" s="29">
        <f t="shared" si="2"/>
        <v>150000</v>
      </c>
    </row>
    <row r="154" spans="1:14" x14ac:dyDescent="0.2">
      <c r="A154" s="2" t="s">
        <v>191</v>
      </c>
      <c r="B154" s="3">
        <v>45804</v>
      </c>
      <c r="C154" s="10" t="s">
        <v>23</v>
      </c>
      <c r="D154" s="10" t="s">
        <v>12</v>
      </c>
      <c r="E154" s="1" t="s">
        <v>47</v>
      </c>
      <c r="F154" s="1" t="s">
        <v>45</v>
      </c>
      <c r="G154">
        <v>375000</v>
      </c>
      <c r="H154" s="1">
        <v>1</v>
      </c>
      <c r="I154" s="1" t="s">
        <v>39</v>
      </c>
      <c r="J154" s="1" t="s">
        <v>29</v>
      </c>
      <c r="K154" s="15">
        <v>375000</v>
      </c>
      <c r="N154" s="29">
        <f t="shared" si="2"/>
        <v>375000</v>
      </c>
    </row>
    <row r="155" spans="1:14" x14ac:dyDescent="0.2">
      <c r="A155" s="2" t="s">
        <v>192</v>
      </c>
      <c r="B155" s="3">
        <v>45816</v>
      </c>
      <c r="C155" s="10" t="s">
        <v>15</v>
      </c>
      <c r="D155" s="10" t="s">
        <v>16</v>
      </c>
      <c r="E155" s="1" t="s">
        <v>36</v>
      </c>
      <c r="F155" s="1" t="s">
        <v>60</v>
      </c>
      <c r="G155">
        <v>225000</v>
      </c>
      <c r="H155" s="1">
        <v>3</v>
      </c>
      <c r="I155" s="1" t="s">
        <v>39</v>
      </c>
      <c r="J155" s="1" t="s">
        <v>37</v>
      </c>
      <c r="K155" s="15">
        <v>675000</v>
      </c>
      <c r="N155" s="29">
        <f t="shared" si="2"/>
        <v>675000</v>
      </c>
    </row>
    <row r="156" spans="1:14" x14ac:dyDescent="0.2">
      <c r="A156" s="2" t="s">
        <v>193</v>
      </c>
      <c r="B156" s="3">
        <v>45796</v>
      </c>
      <c r="C156" s="10" t="s">
        <v>21</v>
      </c>
      <c r="D156" s="10" t="s">
        <v>22</v>
      </c>
      <c r="E156" s="1" t="s">
        <v>26</v>
      </c>
      <c r="F156" s="1" t="s">
        <v>45</v>
      </c>
      <c r="G156">
        <v>75000</v>
      </c>
      <c r="H156" s="1">
        <v>3</v>
      </c>
      <c r="I156" s="1" t="s">
        <v>28</v>
      </c>
      <c r="J156" s="1" t="s">
        <v>37</v>
      </c>
      <c r="K156" s="15">
        <v>225000</v>
      </c>
      <c r="N156" s="29">
        <f t="shared" si="2"/>
        <v>225000</v>
      </c>
    </row>
    <row r="157" spans="1:14" x14ac:dyDescent="0.2">
      <c r="A157" s="2" t="s">
        <v>194</v>
      </c>
      <c r="B157" s="3">
        <v>45769</v>
      </c>
      <c r="C157" s="10" t="s">
        <v>17</v>
      </c>
      <c r="D157" s="10" t="s">
        <v>18</v>
      </c>
      <c r="E157" s="1" t="s">
        <v>36</v>
      </c>
      <c r="F157" s="1" t="s">
        <v>27</v>
      </c>
      <c r="G157">
        <v>300000</v>
      </c>
      <c r="H157" s="1">
        <v>3</v>
      </c>
      <c r="I157" s="1" t="s">
        <v>28</v>
      </c>
      <c r="J157" s="1" t="s">
        <v>29</v>
      </c>
      <c r="K157" s="15">
        <v>900000</v>
      </c>
      <c r="N157" s="29">
        <f t="shared" si="2"/>
        <v>900000</v>
      </c>
    </row>
    <row r="158" spans="1:14" x14ac:dyDescent="0.2">
      <c r="A158" s="2" t="s">
        <v>195</v>
      </c>
      <c r="B158" s="3">
        <v>45827</v>
      </c>
      <c r="C158" s="10" t="s">
        <v>15</v>
      </c>
      <c r="D158" s="10" t="s">
        <v>16</v>
      </c>
      <c r="E158" s="1" t="s">
        <v>31</v>
      </c>
      <c r="F158" s="1" t="s">
        <v>27</v>
      </c>
      <c r="G158">
        <v>225000</v>
      </c>
      <c r="H158" s="1">
        <v>2</v>
      </c>
      <c r="I158" s="1" t="s">
        <v>39</v>
      </c>
      <c r="J158" s="1" t="s">
        <v>37</v>
      </c>
      <c r="K158" s="15">
        <v>450000</v>
      </c>
      <c r="N158" s="29">
        <f t="shared" si="2"/>
        <v>450000</v>
      </c>
    </row>
    <row r="159" spans="1:14" x14ac:dyDescent="0.2">
      <c r="A159" s="2" t="s">
        <v>196</v>
      </c>
      <c r="B159" s="3">
        <v>45670</v>
      </c>
      <c r="C159" s="10" t="s">
        <v>11</v>
      </c>
      <c r="D159" s="10" t="s">
        <v>12</v>
      </c>
      <c r="E159" s="1" t="s">
        <v>31</v>
      </c>
      <c r="F159" s="1" t="s">
        <v>45</v>
      </c>
      <c r="G159">
        <v>350000</v>
      </c>
      <c r="H159" s="1">
        <v>1</v>
      </c>
      <c r="I159" s="1" t="s">
        <v>39</v>
      </c>
      <c r="J159" s="1" t="s">
        <v>29</v>
      </c>
      <c r="K159" s="15">
        <v>350000</v>
      </c>
      <c r="N159" s="29">
        <f t="shared" si="2"/>
        <v>350000</v>
      </c>
    </row>
    <row r="160" spans="1:14" x14ac:dyDescent="0.2">
      <c r="A160" s="2" t="s">
        <v>197</v>
      </c>
      <c r="B160" s="3">
        <v>45806</v>
      </c>
      <c r="C160" s="10" t="s">
        <v>13</v>
      </c>
      <c r="D160" s="10" t="s">
        <v>14</v>
      </c>
      <c r="E160" s="1" t="s">
        <v>26</v>
      </c>
      <c r="F160" s="1" t="s">
        <v>45</v>
      </c>
      <c r="G160">
        <v>275000</v>
      </c>
      <c r="H160" s="1">
        <v>1</v>
      </c>
      <c r="I160" s="1" t="s">
        <v>39</v>
      </c>
      <c r="J160" s="1" t="s">
        <v>29</v>
      </c>
      <c r="K160" s="15">
        <v>275000</v>
      </c>
      <c r="N160" s="29">
        <f t="shared" si="2"/>
        <v>275000</v>
      </c>
    </row>
    <row r="161" spans="1:14" x14ac:dyDescent="0.2">
      <c r="A161" s="2" t="s">
        <v>198</v>
      </c>
      <c r="B161" s="3">
        <v>45662</v>
      </c>
      <c r="C161" s="10" t="s">
        <v>23</v>
      </c>
      <c r="D161" s="10" t="s">
        <v>12</v>
      </c>
      <c r="E161" s="1" t="s">
        <v>47</v>
      </c>
      <c r="F161" s="1" t="s">
        <v>34</v>
      </c>
      <c r="G161">
        <v>375000</v>
      </c>
      <c r="H161" s="1">
        <v>2</v>
      </c>
      <c r="I161" s="1" t="s">
        <v>28</v>
      </c>
      <c r="J161" s="1" t="s">
        <v>37</v>
      </c>
      <c r="K161" s="15">
        <v>750000</v>
      </c>
      <c r="N161" s="29">
        <f t="shared" si="2"/>
        <v>750000</v>
      </c>
    </row>
    <row r="162" spans="1:14" x14ac:dyDescent="0.2">
      <c r="A162" s="2" t="s">
        <v>199</v>
      </c>
      <c r="B162" s="3">
        <v>45823</v>
      </c>
      <c r="C162" s="10" t="s">
        <v>17</v>
      </c>
      <c r="D162" s="10" t="s">
        <v>18</v>
      </c>
      <c r="E162" s="1" t="s">
        <v>36</v>
      </c>
      <c r="F162" s="1" t="s">
        <v>32</v>
      </c>
      <c r="G162">
        <v>300000</v>
      </c>
      <c r="H162" s="1">
        <v>2</v>
      </c>
      <c r="I162" s="1" t="s">
        <v>28</v>
      </c>
      <c r="J162" s="1" t="s">
        <v>37</v>
      </c>
      <c r="K162" s="15">
        <v>600000</v>
      </c>
      <c r="N162" s="29">
        <f t="shared" si="2"/>
        <v>600000</v>
      </c>
    </row>
    <row r="163" spans="1:14" x14ac:dyDescent="0.2">
      <c r="A163" s="2" t="s">
        <v>200</v>
      </c>
      <c r="B163" s="3">
        <v>45754</v>
      </c>
      <c r="C163" s="10" t="s">
        <v>21</v>
      </c>
      <c r="D163" s="10" t="s">
        <v>22</v>
      </c>
      <c r="E163" s="1" t="s">
        <v>31</v>
      </c>
      <c r="F163" s="1" t="s">
        <v>45</v>
      </c>
      <c r="G163">
        <v>75000</v>
      </c>
      <c r="H163" s="1">
        <v>3</v>
      </c>
      <c r="I163" s="1" t="s">
        <v>39</v>
      </c>
      <c r="J163" s="1" t="s">
        <v>29</v>
      </c>
      <c r="K163" s="15">
        <v>225000</v>
      </c>
      <c r="N163" s="29">
        <f t="shared" si="2"/>
        <v>225000</v>
      </c>
    </row>
    <row r="164" spans="1:14" x14ac:dyDescent="0.2">
      <c r="A164" s="2" t="s">
        <v>201</v>
      </c>
      <c r="B164" s="3">
        <v>45828</v>
      </c>
      <c r="C164" s="10" t="s">
        <v>24</v>
      </c>
      <c r="D164" s="10" t="s">
        <v>16</v>
      </c>
      <c r="E164" s="1" t="s">
        <v>47</v>
      </c>
      <c r="F164" s="1" t="s">
        <v>34</v>
      </c>
      <c r="G164">
        <v>240000</v>
      </c>
      <c r="H164" s="1">
        <v>3</v>
      </c>
      <c r="I164" s="1" t="s">
        <v>28</v>
      </c>
      <c r="J164" s="1" t="s">
        <v>37</v>
      </c>
      <c r="K164" s="15">
        <v>720000</v>
      </c>
      <c r="N164" s="29">
        <f t="shared" si="2"/>
        <v>720000</v>
      </c>
    </row>
    <row r="165" spans="1:14" x14ac:dyDescent="0.2">
      <c r="A165" s="2" t="s">
        <v>202</v>
      </c>
      <c r="B165" s="3">
        <v>45743</v>
      </c>
      <c r="C165" s="10" t="s">
        <v>11</v>
      </c>
      <c r="D165" s="10" t="s">
        <v>12</v>
      </c>
      <c r="E165" s="1" t="s">
        <v>26</v>
      </c>
      <c r="F165" s="1" t="s">
        <v>60</v>
      </c>
      <c r="G165">
        <v>350000</v>
      </c>
      <c r="H165" s="1">
        <v>1</v>
      </c>
      <c r="I165" s="1" t="s">
        <v>28</v>
      </c>
      <c r="J165" s="1" t="s">
        <v>29</v>
      </c>
      <c r="K165" s="15">
        <v>350000</v>
      </c>
      <c r="N165" s="29">
        <f t="shared" si="2"/>
        <v>350000</v>
      </c>
    </row>
    <row r="166" spans="1:14" x14ac:dyDescent="0.2">
      <c r="A166" s="2" t="s">
        <v>203</v>
      </c>
      <c r="B166" s="3">
        <v>45806</v>
      </c>
      <c r="C166" s="10" t="s">
        <v>13</v>
      </c>
      <c r="D166" s="10" t="s">
        <v>14</v>
      </c>
      <c r="E166" s="1" t="s">
        <v>47</v>
      </c>
      <c r="F166" s="1" t="s">
        <v>27</v>
      </c>
      <c r="G166">
        <v>275000</v>
      </c>
      <c r="H166" s="1">
        <v>1</v>
      </c>
      <c r="I166" s="1" t="s">
        <v>39</v>
      </c>
      <c r="J166" s="1" t="s">
        <v>29</v>
      </c>
      <c r="K166" s="15">
        <v>275000</v>
      </c>
      <c r="N166" s="29">
        <f t="shared" si="2"/>
        <v>275000</v>
      </c>
    </row>
    <row r="167" spans="1:14" x14ac:dyDescent="0.2">
      <c r="A167" s="2" t="s">
        <v>204</v>
      </c>
      <c r="B167" s="3">
        <v>45736</v>
      </c>
      <c r="C167" s="10" t="s">
        <v>23</v>
      </c>
      <c r="D167" s="10" t="s">
        <v>12</v>
      </c>
      <c r="E167" s="1" t="s">
        <v>47</v>
      </c>
      <c r="F167" s="1" t="s">
        <v>41</v>
      </c>
      <c r="G167">
        <v>375000</v>
      </c>
      <c r="H167" s="1">
        <v>3</v>
      </c>
      <c r="I167" s="1" t="s">
        <v>28</v>
      </c>
      <c r="J167" s="1" t="s">
        <v>37</v>
      </c>
      <c r="K167" s="15">
        <v>1125000</v>
      </c>
      <c r="N167" s="29">
        <f t="shared" si="2"/>
        <v>1125000</v>
      </c>
    </row>
    <row r="168" spans="1:14" x14ac:dyDescent="0.2">
      <c r="A168" s="2" t="s">
        <v>205</v>
      </c>
      <c r="B168" s="3">
        <v>45663</v>
      </c>
      <c r="C168" s="10" t="s">
        <v>11</v>
      </c>
      <c r="D168" s="10" t="s">
        <v>12</v>
      </c>
      <c r="E168" s="1" t="s">
        <v>26</v>
      </c>
      <c r="F168" s="1" t="s">
        <v>27</v>
      </c>
      <c r="G168">
        <v>350000</v>
      </c>
      <c r="H168" s="1">
        <v>3</v>
      </c>
      <c r="I168" s="1" t="s">
        <v>39</v>
      </c>
      <c r="J168" s="1" t="s">
        <v>29</v>
      </c>
      <c r="K168" s="15">
        <v>1050000</v>
      </c>
      <c r="N168" s="29">
        <f t="shared" si="2"/>
        <v>1050000</v>
      </c>
    </row>
    <row r="169" spans="1:14" x14ac:dyDescent="0.2">
      <c r="A169" s="2" t="s">
        <v>206</v>
      </c>
      <c r="B169" s="3">
        <v>45741</v>
      </c>
      <c r="C169" s="10" t="s">
        <v>19</v>
      </c>
      <c r="D169" s="10" t="s">
        <v>20</v>
      </c>
      <c r="E169" s="1" t="s">
        <v>47</v>
      </c>
      <c r="F169" s="1" t="s">
        <v>32</v>
      </c>
      <c r="G169">
        <v>250000</v>
      </c>
      <c r="H169" s="1">
        <v>3</v>
      </c>
      <c r="I169" s="1" t="s">
        <v>39</v>
      </c>
      <c r="J169" s="1" t="s">
        <v>29</v>
      </c>
      <c r="K169" s="15">
        <v>750000</v>
      </c>
      <c r="N169" s="29">
        <f t="shared" si="2"/>
        <v>750000</v>
      </c>
    </row>
    <row r="170" spans="1:14" x14ac:dyDescent="0.2">
      <c r="A170" s="2" t="s">
        <v>207</v>
      </c>
      <c r="B170" s="3">
        <v>45720</v>
      </c>
      <c r="C170" s="10" t="s">
        <v>24</v>
      </c>
      <c r="D170" s="10" t="s">
        <v>16</v>
      </c>
      <c r="E170" s="1" t="s">
        <v>47</v>
      </c>
      <c r="F170" s="1" t="s">
        <v>34</v>
      </c>
      <c r="G170">
        <v>240000</v>
      </c>
      <c r="H170" s="1">
        <v>3</v>
      </c>
      <c r="I170" s="1" t="s">
        <v>39</v>
      </c>
      <c r="J170" s="1" t="s">
        <v>37</v>
      </c>
      <c r="K170" s="15">
        <v>720000</v>
      </c>
      <c r="N170" s="29">
        <f t="shared" si="2"/>
        <v>720000</v>
      </c>
    </row>
    <row r="171" spans="1:14" x14ac:dyDescent="0.2">
      <c r="A171" s="2" t="s">
        <v>208</v>
      </c>
      <c r="B171" s="3">
        <v>45820</v>
      </c>
      <c r="C171" s="10" t="s">
        <v>21</v>
      </c>
      <c r="D171" s="10" t="s">
        <v>22</v>
      </c>
      <c r="E171" s="1" t="s">
        <v>26</v>
      </c>
      <c r="F171" s="1" t="s">
        <v>60</v>
      </c>
      <c r="G171">
        <v>75000</v>
      </c>
      <c r="H171" s="1">
        <v>1</v>
      </c>
      <c r="I171" s="1" t="s">
        <v>28</v>
      </c>
      <c r="J171" s="1" t="s">
        <v>29</v>
      </c>
      <c r="K171" s="15">
        <v>75000</v>
      </c>
      <c r="N171" s="29">
        <f t="shared" si="2"/>
        <v>75000</v>
      </c>
    </row>
    <row r="172" spans="1:14" x14ac:dyDescent="0.2">
      <c r="A172" s="2" t="s">
        <v>209</v>
      </c>
      <c r="B172" s="3">
        <v>45836</v>
      </c>
      <c r="C172" s="10" t="s">
        <v>23</v>
      </c>
      <c r="D172" s="10" t="s">
        <v>12</v>
      </c>
      <c r="E172" s="1" t="s">
        <v>26</v>
      </c>
      <c r="F172" s="1" t="s">
        <v>32</v>
      </c>
      <c r="G172">
        <v>375000</v>
      </c>
      <c r="H172" s="1">
        <v>3</v>
      </c>
      <c r="I172" s="1" t="s">
        <v>39</v>
      </c>
      <c r="J172" s="1" t="s">
        <v>29</v>
      </c>
      <c r="K172" s="15">
        <v>1125000</v>
      </c>
      <c r="N172" s="29">
        <f t="shared" si="2"/>
        <v>1125000</v>
      </c>
    </row>
    <row r="173" spans="1:14" x14ac:dyDescent="0.2">
      <c r="A173" s="2" t="s">
        <v>210</v>
      </c>
      <c r="B173" s="3">
        <v>45753</v>
      </c>
      <c r="C173" s="10" t="s">
        <v>24</v>
      </c>
      <c r="D173" s="10" t="s">
        <v>16</v>
      </c>
      <c r="E173" s="1" t="s">
        <v>47</v>
      </c>
      <c r="F173" s="1" t="s">
        <v>34</v>
      </c>
      <c r="G173">
        <v>240000</v>
      </c>
      <c r="H173" s="1">
        <v>1</v>
      </c>
      <c r="I173" s="1" t="s">
        <v>28</v>
      </c>
      <c r="J173" s="1" t="s">
        <v>29</v>
      </c>
      <c r="K173" s="15">
        <v>240000</v>
      </c>
      <c r="N173" s="29">
        <f t="shared" si="2"/>
        <v>240000</v>
      </c>
    </row>
    <row r="174" spans="1:14" x14ac:dyDescent="0.2">
      <c r="A174" s="2" t="s">
        <v>211</v>
      </c>
      <c r="B174" s="3">
        <v>45733</v>
      </c>
      <c r="C174" s="10" t="s">
        <v>23</v>
      </c>
      <c r="D174" s="10" t="s">
        <v>12</v>
      </c>
      <c r="E174" s="1" t="s">
        <v>31</v>
      </c>
      <c r="F174" s="1" t="s">
        <v>41</v>
      </c>
      <c r="G174">
        <v>375000</v>
      </c>
      <c r="H174" s="1">
        <v>3</v>
      </c>
      <c r="I174" s="1" t="s">
        <v>39</v>
      </c>
      <c r="J174" s="1" t="s">
        <v>37</v>
      </c>
      <c r="K174" s="15">
        <v>1125000</v>
      </c>
      <c r="N174" s="29">
        <f t="shared" si="2"/>
        <v>1125000</v>
      </c>
    </row>
    <row r="175" spans="1:14" x14ac:dyDescent="0.2">
      <c r="A175" s="2" t="s">
        <v>212</v>
      </c>
      <c r="B175" s="3">
        <v>45722</v>
      </c>
      <c r="C175" s="10" t="s">
        <v>13</v>
      </c>
      <c r="D175" s="10" t="s">
        <v>14</v>
      </c>
      <c r="E175" s="1" t="s">
        <v>26</v>
      </c>
      <c r="F175" s="1" t="s">
        <v>60</v>
      </c>
      <c r="G175">
        <v>275000</v>
      </c>
      <c r="H175" s="1">
        <v>3</v>
      </c>
      <c r="I175" s="1" t="s">
        <v>39</v>
      </c>
      <c r="J175" s="1" t="s">
        <v>37</v>
      </c>
      <c r="K175" s="15">
        <v>825000</v>
      </c>
      <c r="N175" s="29">
        <f t="shared" si="2"/>
        <v>825000</v>
      </c>
    </row>
    <row r="176" spans="1:14" x14ac:dyDescent="0.2">
      <c r="A176" s="2" t="s">
        <v>213</v>
      </c>
      <c r="B176" s="3">
        <v>45755</v>
      </c>
      <c r="C176" s="10" t="s">
        <v>17</v>
      </c>
      <c r="D176" s="10" t="s">
        <v>18</v>
      </c>
      <c r="E176" s="1" t="s">
        <v>26</v>
      </c>
      <c r="F176" s="1" t="s">
        <v>60</v>
      </c>
      <c r="G176">
        <v>300000</v>
      </c>
      <c r="H176" s="1">
        <v>2</v>
      </c>
      <c r="I176" s="1" t="s">
        <v>28</v>
      </c>
      <c r="J176" s="1" t="s">
        <v>37</v>
      </c>
      <c r="K176" s="15">
        <v>600000</v>
      </c>
      <c r="N176" s="29">
        <f t="shared" si="2"/>
        <v>600000</v>
      </c>
    </row>
    <row r="177" spans="1:14" x14ac:dyDescent="0.2">
      <c r="A177" s="2" t="s">
        <v>214</v>
      </c>
      <c r="B177" s="3">
        <v>45832</v>
      </c>
      <c r="C177" s="10" t="s">
        <v>17</v>
      </c>
      <c r="D177" s="10" t="s">
        <v>18</v>
      </c>
      <c r="E177" s="1" t="s">
        <v>36</v>
      </c>
      <c r="F177" s="1" t="s">
        <v>41</v>
      </c>
      <c r="G177">
        <v>300000</v>
      </c>
      <c r="H177" s="1">
        <v>1</v>
      </c>
      <c r="I177" s="1" t="s">
        <v>39</v>
      </c>
      <c r="J177" s="1" t="s">
        <v>29</v>
      </c>
      <c r="K177" s="15">
        <v>300000</v>
      </c>
      <c r="N177" s="29">
        <f t="shared" si="2"/>
        <v>300000</v>
      </c>
    </row>
    <row r="178" spans="1:14" x14ac:dyDescent="0.2">
      <c r="A178" s="2" t="s">
        <v>215</v>
      </c>
      <c r="B178" s="3">
        <v>45812</v>
      </c>
      <c r="C178" s="10" t="s">
        <v>13</v>
      </c>
      <c r="D178" s="10" t="s">
        <v>14</v>
      </c>
      <c r="E178" s="1" t="s">
        <v>36</v>
      </c>
      <c r="F178" s="1" t="s">
        <v>41</v>
      </c>
      <c r="G178">
        <v>275000</v>
      </c>
      <c r="H178" s="1">
        <v>2</v>
      </c>
      <c r="I178" s="1" t="s">
        <v>28</v>
      </c>
      <c r="J178" s="1" t="s">
        <v>37</v>
      </c>
      <c r="K178" s="15">
        <v>550000</v>
      </c>
      <c r="N178" s="29">
        <f t="shared" si="2"/>
        <v>550000</v>
      </c>
    </row>
    <row r="179" spans="1:14" x14ac:dyDescent="0.2">
      <c r="A179" s="2" t="s">
        <v>216</v>
      </c>
      <c r="B179" s="3">
        <v>45748</v>
      </c>
      <c r="C179" s="10" t="s">
        <v>23</v>
      </c>
      <c r="D179" s="10" t="s">
        <v>12</v>
      </c>
      <c r="E179" s="1" t="s">
        <v>26</v>
      </c>
      <c r="F179" s="1" t="s">
        <v>34</v>
      </c>
      <c r="G179">
        <v>375000</v>
      </c>
      <c r="H179" s="1">
        <v>1</v>
      </c>
      <c r="I179" s="1" t="s">
        <v>39</v>
      </c>
      <c r="J179" s="1" t="s">
        <v>37</v>
      </c>
      <c r="K179" s="15">
        <v>375000</v>
      </c>
      <c r="N179" s="29">
        <f t="shared" si="2"/>
        <v>375000</v>
      </c>
    </row>
    <row r="180" spans="1:14" x14ac:dyDescent="0.2">
      <c r="A180" s="2" t="s">
        <v>217</v>
      </c>
      <c r="B180" s="3">
        <v>45774</v>
      </c>
      <c r="C180" s="10" t="s">
        <v>15</v>
      </c>
      <c r="D180" s="10" t="s">
        <v>16</v>
      </c>
      <c r="E180" s="1" t="s">
        <v>36</v>
      </c>
      <c r="F180" s="1" t="s">
        <v>60</v>
      </c>
      <c r="G180">
        <v>225000</v>
      </c>
      <c r="H180" s="1">
        <v>1</v>
      </c>
      <c r="I180" s="1" t="s">
        <v>39</v>
      </c>
      <c r="J180" s="1" t="s">
        <v>29</v>
      </c>
      <c r="K180" s="15">
        <v>225000</v>
      </c>
      <c r="N180" s="29">
        <f t="shared" si="2"/>
        <v>225000</v>
      </c>
    </row>
    <row r="181" spans="1:14" x14ac:dyDescent="0.2">
      <c r="A181" s="2" t="s">
        <v>218</v>
      </c>
      <c r="B181" s="3">
        <v>45838</v>
      </c>
      <c r="C181" s="10" t="s">
        <v>24</v>
      </c>
      <c r="D181" s="10" t="s">
        <v>16</v>
      </c>
      <c r="E181" s="1" t="s">
        <v>36</v>
      </c>
      <c r="F181" s="1" t="s">
        <v>27</v>
      </c>
      <c r="G181">
        <v>240000</v>
      </c>
      <c r="H181" s="1">
        <v>2</v>
      </c>
      <c r="I181" s="1" t="s">
        <v>28</v>
      </c>
      <c r="J181" s="1" t="s">
        <v>29</v>
      </c>
      <c r="K181" s="15">
        <v>480000</v>
      </c>
      <c r="N181" s="29">
        <f t="shared" si="2"/>
        <v>480000</v>
      </c>
    </row>
    <row r="182" spans="1:14" x14ac:dyDescent="0.2">
      <c r="A182" s="2" t="s">
        <v>219</v>
      </c>
      <c r="B182" s="3">
        <v>45775</v>
      </c>
      <c r="C182" s="10" t="s">
        <v>21</v>
      </c>
      <c r="D182" s="10" t="s">
        <v>22</v>
      </c>
      <c r="E182" s="1" t="s">
        <v>36</v>
      </c>
      <c r="F182" s="1" t="s">
        <v>32</v>
      </c>
      <c r="G182">
        <v>75000</v>
      </c>
      <c r="H182" s="1">
        <v>1</v>
      </c>
      <c r="I182" s="1" t="s">
        <v>39</v>
      </c>
      <c r="J182" s="1" t="s">
        <v>37</v>
      </c>
      <c r="K182" s="15">
        <v>75000</v>
      </c>
      <c r="N182" s="29">
        <f t="shared" si="2"/>
        <v>75000</v>
      </c>
    </row>
    <row r="183" spans="1:14" x14ac:dyDescent="0.2">
      <c r="A183" s="2" t="s">
        <v>220</v>
      </c>
      <c r="B183" s="3">
        <v>45682</v>
      </c>
      <c r="C183" s="10" t="s">
        <v>11</v>
      </c>
      <c r="D183" s="10" t="s">
        <v>12</v>
      </c>
      <c r="E183" s="1" t="s">
        <v>26</v>
      </c>
      <c r="F183" s="1" t="s">
        <v>41</v>
      </c>
      <c r="G183">
        <v>350000</v>
      </c>
      <c r="H183" s="1">
        <v>1</v>
      </c>
      <c r="I183" s="1" t="s">
        <v>39</v>
      </c>
      <c r="J183" s="1" t="s">
        <v>29</v>
      </c>
      <c r="K183" s="15">
        <v>350000</v>
      </c>
      <c r="N183" s="29">
        <f t="shared" si="2"/>
        <v>350000</v>
      </c>
    </row>
    <row r="184" spans="1:14" x14ac:dyDescent="0.2">
      <c r="A184" s="2" t="s">
        <v>221</v>
      </c>
      <c r="B184" s="3">
        <v>45805</v>
      </c>
      <c r="C184" s="10" t="s">
        <v>15</v>
      </c>
      <c r="D184" s="10" t="s">
        <v>16</v>
      </c>
      <c r="E184" s="1" t="s">
        <v>36</v>
      </c>
      <c r="F184" s="1" t="s">
        <v>41</v>
      </c>
      <c r="G184">
        <v>225000</v>
      </c>
      <c r="H184" s="1">
        <v>1</v>
      </c>
      <c r="I184" s="1" t="s">
        <v>28</v>
      </c>
      <c r="J184" s="1" t="s">
        <v>29</v>
      </c>
      <c r="K184" s="15">
        <v>225000</v>
      </c>
      <c r="N184" s="29">
        <f t="shared" si="2"/>
        <v>225000</v>
      </c>
    </row>
    <row r="185" spans="1:14" x14ac:dyDescent="0.2">
      <c r="A185" s="2" t="s">
        <v>222</v>
      </c>
      <c r="B185" s="3">
        <v>45696</v>
      </c>
      <c r="C185" s="10" t="s">
        <v>11</v>
      </c>
      <c r="D185" s="10" t="s">
        <v>12</v>
      </c>
      <c r="E185" s="1" t="s">
        <v>47</v>
      </c>
      <c r="F185" s="1" t="s">
        <v>45</v>
      </c>
      <c r="G185">
        <v>350000</v>
      </c>
      <c r="H185" s="1">
        <v>1</v>
      </c>
      <c r="I185" s="1" t="s">
        <v>28</v>
      </c>
      <c r="J185" s="1" t="s">
        <v>29</v>
      </c>
      <c r="K185" s="15">
        <v>350000</v>
      </c>
      <c r="N185" s="29">
        <f t="shared" si="2"/>
        <v>350000</v>
      </c>
    </row>
    <row r="186" spans="1:14" x14ac:dyDescent="0.2">
      <c r="A186" s="2" t="s">
        <v>223</v>
      </c>
      <c r="B186" s="3">
        <v>45675</v>
      </c>
      <c r="C186" s="10" t="s">
        <v>21</v>
      </c>
      <c r="D186" s="10" t="s">
        <v>22</v>
      </c>
      <c r="E186" s="1" t="s">
        <v>26</v>
      </c>
      <c r="F186" s="1" t="s">
        <v>45</v>
      </c>
      <c r="G186">
        <v>75000</v>
      </c>
      <c r="H186" s="1">
        <v>3</v>
      </c>
      <c r="I186" s="1" t="s">
        <v>39</v>
      </c>
      <c r="J186" s="1" t="s">
        <v>37</v>
      </c>
      <c r="K186" s="15">
        <v>225000</v>
      </c>
      <c r="N186" s="29">
        <f t="shared" si="2"/>
        <v>225000</v>
      </c>
    </row>
    <row r="187" spans="1:14" x14ac:dyDescent="0.2">
      <c r="A187" s="2" t="s">
        <v>224</v>
      </c>
      <c r="B187" s="3">
        <v>45730</v>
      </c>
      <c r="C187" s="10" t="s">
        <v>17</v>
      </c>
      <c r="D187" s="10" t="s">
        <v>18</v>
      </c>
      <c r="E187" s="1" t="s">
        <v>36</v>
      </c>
      <c r="F187" s="1" t="s">
        <v>27</v>
      </c>
      <c r="G187">
        <v>300000</v>
      </c>
      <c r="H187" s="1">
        <v>2</v>
      </c>
      <c r="I187" s="1" t="s">
        <v>39</v>
      </c>
      <c r="J187" s="1" t="s">
        <v>29</v>
      </c>
      <c r="K187" s="15">
        <v>600000</v>
      </c>
      <c r="N187" s="29">
        <f t="shared" si="2"/>
        <v>600000</v>
      </c>
    </row>
    <row r="188" spans="1:14" x14ac:dyDescent="0.2">
      <c r="A188" s="2" t="s">
        <v>225</v>
      </c>
      <c r="B188" s="3">
        <v>45737</v>
      </c>
      <c r="C188" s="10" t="s">
        <v>24</v>
      </c>
      <c r="D188" s="10" t="s">
        <v>16</v>
      </c>
      <c r="E188" s="1" t="s">
        <v>26</v>
      </c>
      <c r="F188" s="1" t="s">
        <v>32</v>
      </c>
      <c r="G188">
        <v>240000</v>
      </c>
      <c r="H188" s="1">
        <v>3</v>
      </c>
      <c r="I188" s="1" t="s">
        <v>39</v>
      </c>
      <c r="J188" s="1" t="s">
        <v>29</v>
      </c>
      <c r="K188" s="15">
        <v>720000</v>
      </c>
      <c r="N188" s="29">
        <f t="shared" si="2"/>
        <v>720000</v>
      </c>
    </row>
    <row r="189" spans="1:14" x14ac:dyDescent="0.2">
      <c r="A189" s="2" t="s">
        <v>226</v>
      </c>
      <c r="B189" s="3">
        <v>45812</v>
      </c>
      <c r="C189" s="10" t="s">
        <v>15</v>
      </c>
      <c r="D189" s="10" t="s">
        <v>16</v>
      </c>
      <c r="E189" s="1" t="s">
        <v>31</v>
      </c>
      <c r="F189" s="1" t="s">
        <v>41</v>
      </c>
      <c r="G189">
        <v>225000</v>
      </c>
      <c r="H189" s="1">
        <v>1</v>
      </c>
      <c r="I189" s="1" t="s">
        <v>39</v>
      </c>
      <c r="J189" s="1" t="s">
        <v>37</v>
      </c>
      <c r="K189" s="15">
        <v>225000</v>
      </c>
      <c r="N189" s="29">
        <f t="shared" si="2"/>
        <v>225000</v>
      </c>
    </row>
    <row r="190" spans="1:14" x14ac:dyDescent="0.2">
      <c r="A190" s="2" t="s">
        <v>227</v>
      </c>
      <c r="B190" s="3">
        <v>45754</v>
      </c>
      <c r="C190" s="10" t="s">
        <v>24</v>
      </c>
      <c r="D190" s="10" t="s">
        <v>16</v>
      </c>
      <c r="E190" s="1" t="s">
        <v>36</v>
      </c>
      <c r="F190" s="1" t="s">
        <v>34</v>
      </c>
      <c r="G190">
        <v>240000</v>
      </c>
      <c r="H190" s="1">
        <v>2</v>
      </c>
      <c r="I190" s="1" t="s">
        <v>39</v>
      </c>
      <c r="J190" s="1" t="s">
        <v>29</v>
      </c>
      <c r="K190" s="15">
        <v>480000</v>
      </c>
      <c r="N190" s="29">
        <f t="shared" si="2"/>
        <v>480000</v>
      </c>
    </row>
    <row r="191" spans="1:14" x14ac:dyDescent="0.2">
      <c r="A191" s="2" t="s">
        <v>228</v>
      </c>
      <c r="B191" s="3">
        <v>45831</v>
      </c>
      <c r="C191" s="10" t="s">
        <v>15</v>
      </c>
      <c r="D191" s="10" t="s">
        <v>16</v>
      </c>
      <c r="E191" s="1" t="s">
        <v>31</v>
      </c>
      <c r="F191" s="1" t="s">
        <v>60</v>
      </c>
      <c r="G191">
        <v>225000</v>
      </c>
      <c r="H191" s="1">
        <v>1</v>
      </c>
      <c r="I191" s="1" t="s">
        <v>39</v>
      </c>
      <c r="J191" s="1" t="s">
        <v>29</v>
      </c>
      <c r="K191" s="15">
        <v>225000</v>
      </c>
      <c r="N191" s="29">
        <f t="shared" si="2"/>
        <v>225000</v>
      </c>
    </row>
    <row r="192" spans="1:14" x14ac:dyDescent="0.2">
      <c r="A192" s="2" t="s">
        <v>229</v>
      </c>
      <c r="B192" s="3">
        <v>45750</v>
      </c>
      <c r="C192" s="10" t="s">
        <v>17</v>
      </c>
      <c r="D192" s="10" t="s">
        <v>18</v>
      </c>
      <c r="E192" s="1" t="s">
        <v>31</v>
      </c>
      <c r="F192" s="1" t="s">
        <v>45</v>
      </c>
      <c r="G192">
        <v>300000</v>
      </c>
      <c r="H192" s="1">
        <v>2</v>
      </c>
      <c r="I192" s="1" t="s">
        <v>39</v>
      </c>
      <c r="J192" s="1" t="s">
        <v>37</v>
      </c>
      <c r="K192" s="15">
        <v>600000</v>
      </c>
      <c r="N192" s="29">
        <f t="shared" si="2"/>
        <v>600000</v>
      </c>
    </row>
    <row r="193" spans="1:14" x14ac:dyDescent="0.2">
      <c r="A193" s="2" t="s">
        <v>230</v>
      </c>
      <c r="B193" s="3">
        <v>45668</v>
      </c>
      <c r="C193" s="10" t="s">
        <v>24</v>
      </c>
      <c r="D193" s="10" t="s">
        <v>16</v>
      </c>
      <c r="E193" s="1" t="s">
        <v>31</v>
      </c>
      <c r="F193" s="1" t="s">
        <v>27</v>
      </c>
      <c r="G193">
        <v>240000</v>
      </c>
      <c r="H193" s="1">
        <v>1</v>
      </c>
      <c r="I193" s="1" t="s">
        <v>28</v>
      </c>
      <c r="J193" s="1" t="s">
        <v>37</v>
      </c>
      <c r="K193" s="15">
        <v>240000</v>
      </c>
      <c r="N193" s="29">
        <f t="shared" si="2"/>
        <v>240000</v>
      </c>
    </row>
    <row r="194" spans="1:14" x14ac:dyDescent="0.2">
      <c r="A194" s="2" t="s">
        <v>231</v>
      </c>
      <c r="B194" s="3">
        <v>45816</v>
      </c>
      <c r="C194" s="10" t="s">
        <v>19</v>
      </c>
      <c r="D194" s="10" t="s">
        <v>20</v>
      </c>
      <c r="E194" s="1" t="s">
        <v>47</v>
      </c>
      <c r="F194" s="1" t="s">
        <v>34</v>
      </c>
      <c r="G194">
        <v>250000</v>
      </c>
      <c r="H194" s="1">
        <v>1</v>
      </c>
      <c r="I194" s="1" t="s">
        <v>39</v>
      </c>
      <c r="J194" s="1" t="s">
        <v>37</v>
      </c>
      <c r="K194" s="15">
        <v>250000</v>
      </c>
      <c r="N194" s="29">
        <f t="shared" si="2"/>
        <v>250000</v>
      </c>
    </row>
    <row r="195" spans="1:14" x14ac:dyDescent="0.2">
      <c r="A195" s="2" t="s">
        <v>232</v>
      </c>
      <c r="B195" s="3">
        <v>45682</v>
      </c>
      <c r="C195" s="10" t="s">
        <v>17</v>
      </c>
      <c r="D195" s="10" t="s">
        <v>18</v>
      </c>
      <c r="E195" s="1" t="s">
        <v>47</v>
      </c>
      <c r="F195" s="1" t="s">
        <v>60</v>
      </c>
      <c r="G195">
        <v>300000</v>
      </c>
      <c r="H195" s="1">
        <v>3</v>
      </c>
      <c r="I195" s="1" t="s">
        <v>28</v>
      </c>
      <c r="J195" s="1" t="s">
        <v>29</v>
      </c>
      <c r="K195" s="15">
        <v>900000</v>
      </c>
      <c r="N195" s="29">
        <f t="shared" ref="N195:N258" si="3">G195*H195</f>
        <v>900000</v>
      </c>
    </row>
    <row r="196" spans="1:14" x14ac:dyDescent="0.2">
      <c r="A196" s="2" t="s">
        <v>233</v>
      </c>
      <c r="B196" s="3">
        <v>45697</v>
      </c>
      <c r="C196" s="10" t="s">
        <v>24</v>
      </c>
      <c r="D196" s="10" t="s">
        <v>16</v>
      </c>
      <c r="E196" s="1" t="s">
        <v>47</v>
      </c>
      <c r="F196" s="1" t="s">
        <v>41</v>
      </c>
      <c r="G196">
        <v>240000</v>
      </c>
      <c r="H196" s="1">
        <v>2</v>
      </c>
      <c r="I196" s="1" t="s">
        <v>28</v>
      </c>
      <c r="J196" s="1" t="s">
        <v>29</v>
      </c>
      <c r="K196" s="15">
        <v>480000</v>
      </c>
      <c r="N196" s="29">
        <f t="shared" si="3"/>
        <v>480000</v>
      </c>
    </row>
    <row r="197" spans="1:14" x14ac:dyDescent="0.2">
      <c r="A197" s="2" t="s">
        <v>234</v>
      </c>
      <c r="B197" s="3">
        <v>45696</v>
      </c>
      <c r="C197" s="10" t="s">
        <v>23</v>
      </c>
      <c r="D197" s="10" t="s">
        <v>12</v>
      </c>
      <c r="E197" s="1" t="s">
        <v>31</v>
      </c>
      <c r="F197" s="1" t="s">
        <v>32</v>
      </c>
      <c r="G197">
        <v>375000</v>
      </c>
      <c r="H197" s="1">
        <v>3</v>
      </c>
      <c r="I197" s="1" t="s">
        <v>39</v>
      </c>
      <c r="J197" s="1" t="s">
        <v>29</v>
      </c>
      <c r="K197" s="15">
        <v>1125000</v>
      </c>
      <c r="N197" s="29">
        <f t="shared" si="3"/>
        <v>1125000</v>
      </c>
    </row>
    <row r="198" spans="1:14" x14ac:dyDescent="0.2">
      <c r="A198" s="2" t="s">
        <v>235</v>
      </c>
      <c r="B198" s="3">
        <v>45718</v>
      </c>
      <c r="C198" s="10" t="s">
        <v>23</v>
      </c>
      <c r="D198" s="10" t="s">
        <v>12</v>
      </c>
      <c r="E198" s="1" t="s">
        <v>36</v>
      </c>
      <c r="F198" s="1" t="s">
        <v>41</v>
      </c>
      <c r="G198">
        <v>375000</v>
      </c>
      <c r="H198" s="1">
        <v>2</v>
      </c>
      <c r="I198" s="1" t="s">
        <v>28</v>
      </c>
      <c r="J198" s="1" t="s">
        <v>29</v>
      </c>
      <c r="K198" s="15">
        <v>750000</v>
      </c>
      <c r="N198" s="29">
        <f t="shared" si="3"/>
        <v>750000</v>
      </c>
    </row>
    <row r="199" spans="1:14" x14ac:dyDescent="0.2">
      <c r="A199" s="2" t="s">
        <v>236</v>
      </c>
      <c r="B199" s="3">
        <v>45765</v>
      </c>
      <c r="C199" s="10" t="s">
        <v>21</v>
      </c>
      <c r="D199" s="10" t="s">
        <v>22</v>
      </c>
      <c r="E199" s="1" t="s">
        <v>26</v>
      </c>
      <c r="F199" s="1" t="s">
        <v>27</v>
      </c>
      <c r="G199">
        <v>75000</v>
      </c>
      <c r="H199" s="1">
        <v>2</v>
      </c>
      <c r="I199" s="1" t="s">
        <v>39</v>
      </c>
      <c r="J199" s="1" t="s">
        <v>29</v>
      </c>
      <c r="K199" s="15">
        <v>150000</v>
      </c>
      <c r="N199" s="29">
        <f t="shared" si="3"/>
        <v>150000</v>
      </c>
    </row>
    <row r="200" spans="1:14" x14ac:dyDescent="0.2">
      <c r="A200" s="2" t="s">
        <v>237</v>
      </c>
      <c r="B200" s="3">
        <v>45733</v>
      </c>
      <c r="C200" s="10" t="s">
        <v>17</v>
      </c>
      <c r="D200" s="10" t="s">
        <v>18</v>
      </c>
      <c r="E200" s="1" t="s">
        <v>31</v>
      </c>
      <c r="F200" s="1" t="s">
        <v>41</v>
      </c>
      <c r="G200">
        <v>300000</v>
      </c>
      <c r="H200" s="1">
        <v>2</v>
      </c>
      <c r="I200" s="1" t="s">
        <v>39</v>
      </c>
      <c r="J200" s="1" t="s">
        <v>37</v>
      </c>
      <c r="K200" s="15">
        <v>600000</v>
      </c>
      <c r="N200" s="29">
        <f t="shared" si="3"/>
        <v>600000</v>
      </c>
    </row>
    <row r="201" spans="1:14" x14ac:dyDescent="0.2">
      <c r="A201" s="2" t="s">
        <v>238</v>
      </c>
      <c r="B201" s="3">
        <v>45752</v>
      </c>
      <c r="C201" s="10" t="s">
        <v>11</v>
      </c>
      <c r="D201" s="10" t="s">
        <v>12</v>
      </c>
      <c r="E201" s="1" t="s">
        <v>47</v>
      </c>
      <c r="F201" s="1" t="s">
        <v>34</v>
      </c>
      <c r="G201">
        <v>350000</v>
      </c>
      <c r="H201" s="1">
        <v>3</v>
      </c>
      <c r="I201" s="1" t="s">
        <v>28</v>
      </c>
      <c r="J201" s="1" t="s">
        <v>37</v>
      </c>
      <c r="K201" s="15">
        <v>1050000</v>
      </c>
      <c r="N201" s="29">
        <f t="shared" si="3"/>
        <v>1050000</v>
      </c>
    </row>
    <row r="202" spans="1:14" x14ac:dyDescent="0.2">
      <c r="A202" s="2" t="s">
        <v>239</v>
      </c>
      <c r="B202" s="3">
        <v>45756</v>
      </c>
      <c r="C202" s="10" t="s">
        <v>15</v>
      </c>
      <c r="D202" s="10" t="s">
        <v>16</v>
      </c>
      <c r="E202" s="1" t="s">
        <v>47</v>
      </c>
      <c r="F202" s="1" t="s">
        <v>34</v>
      </c>
      <c r="G202">
        <v>225000</v>
      </c>
      <c r="H202" s="1">
        <v>2</v>
      </c>
      <c r="I202" s="1" t="s">
        <v>28</v>
      </c>
      <c r="J202" s="1" t="s">
        <v>29</v>
      </c>
      <c r="K202" s="15">
        <v>450000</v>
      </c>
      <c r="N202" s="29">
        <f t="shared" si="3"/>
        <v>450000</v>
      </c>
    </row>
    <row r="203" spans="1:14" x14ac:dyDescent="0.2">
      <c r="A203" s="2" t="s">
        <v>240</v>
      </c>
      <c r="B203" s="3">
        <v>45749</v>
      </c>
      <c r="C203" s="10" t="s">
        <v>15</v>
      </c>
      <c r="D203" s="10" t="s">
        <v>16</v>
      </c>
      <c r="E203" s="1" t="s">
        <v>36</v>
      </c>
      <c r="F203" s="1" t="s">
        <v>41</v>
      </c>
      <c r="G203">
        <v>225000</v>
      </c>
      <c r="H203" s="1">
        <v>3</v>
      </c>
      <c r="I203" s="1" t="s">
        <v>28</v>
      </c>
      <c r="J203" s="1" t="s">
        <v>37</v>
      </c>
      <c r="K203" s="15">
        <v>675000</v>
      </c>
      <c r="N203" s="29">
        <f t="shared" si="3"/>
        <v>675000</v>
      </c>
    </row>
    <row r="204" spans="1:14" x14ac:dyDescent="0.2">
      <c r="A204" s="2" t="s">
        <v>241</v>
      </c>
      <c r="B204" s="3">
        <v>45792</v>
      </c>
      <c r="C204" s="10" t="s">
        <v>21</v>
      </c>
      <c r="D204" s="10" t="s">
        <v>22</v>
      </c>
      <c r="E204" s="1" t="s">
        <v>31</v>
      </c>
      <c r="F204" s="1" t="s">
        <v>60</v>
      </c>
      <c r="G204">
        <v>75000</v>
      </c>
      <c r="H204" s="1">
        <v>1</v>
      </c>
      <c r="I204" s="1" t="s">
        <v>39</v>
      </c>
      <c r="J204" s="1" t="s">
        <v>37</v>
      </c>
      <c r="K204" s="15">
        <v>75000</v>
      </c>
      <c r="N204" s="29">
        <f t="shared" si="3"/>
        <v>75000</v>
      </c>
    </row>
    <row r="205" spans="1:14" x14ac:dyDescent="0.2">
      <c r="A205" s="2" t="s">
        <v>242</v>
      </c>
      <c r="B205" s="3">
        <v>45690</v>
      </c>
      <c r="C205" s="10" t="s">
        <v>11</v>
      </c>
      <c r="D205" s="10" t="s">
        <v>12</v>
      </c>
      <c r="E205" s="1" t="s">
        <v>26</v>
      </c>
      <c r="F205" s="1" t="s">
        <v>32</v>
      </c>
      <c r="G205">
        <v>350000</v>
      </c>
      <c r="H205" s="1">
        <v>3</v>
      </c>
      <c r="I205" s="1" t="s">
        <v>28</v>
      </c>
      <c r="J205" s="1" t="s">
        <v>29</v>
      </c>
      <c r="K205" s="15">
        <v>1050000</v>
      </c>
      <c r="N205" s="29">
        <f t="shared" si="3"/>
        <v>1050000</v>
      </c>
    </row>
    <row r="206" spans="1:14" x14ac:dyDescent="0.2">
      <c r="A206" s="2" t="s">
        <v>243</v>
      </c>
      <c r="B206" s="3">
        <v>45658</v>
      </c>
      <c r="C206" s="10" t="s">
        <v>11</v>
      </c>
      <c r="D206" s="10" t="s">
        <v>12</v>
      </c>
      <c r="E206" s="1" t="s">
        <v>36</v>
      </c>
      <c r="F206" s="1" t="s">
        <v>45</v>
      </c>
      <c r="G206">
        <v>350000</v>
      </c>
      <c r="H206" s="1">
        <v>1</v>
      </c>
      <c r="I206" s="1" t="s">
        <v>39</v>
      </c>
      <c r="J206" s="1" t="s">
        <v>29</v>
      </c>
      <c r="K206" s="15">
        <v>350000</v>
      </c>
      <c r="N206" s="29">
        <f t="shared" si="3"/>
        <v>350000</v>
      </c>
    </row>
    <row r="207" spans="1:14" x14ac:dyDescent="0.2">
      <c r="A207" s="2" t="s">
        <v>244</v>
      </c>
      <c r="B207" s="3">
        <v>45659</v>
      </c>
      <c r="C207" s="10" t="s">
        <v>19</v>
      </c>
      <c r="D207" s="10" t="s">
        <v>20</v>
      </c>
      <c r="E207" s="1" t="s">
        <v>26</v>
      </c>
      <c r="F207" s="1" t="s">
        <v>45</v>
      </c>
      <c r="G207">
        <v>250000</v>
      </c>
      <c r="H207" s="1">
        <v>3</v>
      </c>
      <c r="I207" s="1" t="s">
        <v>28</v>
      </c>
      <c r="J207" s="1" t="s">
        <v>37</v>
      </c>
      <c r="K207" s="15">
        <v>750000</v>
      </c>
      <c r="N207" s="29">
        <f t="shared" si="3"/>
        <v>750000</v>
      </c>
    </row>
    <row r="208" spans="1:14" x14ac:dyDescent="0.2">
      <c r="A208" s="2" t="s">
        <v>245</v>
      </c>
      <c r="B208" s="3">
        <v>45672</v>
      </c>
      <c r="C208" s="10" t="s">
        <v>11</v>
      </c>
      <c r="D208" s="10" t="s">
        <v>12</v>
      </c>
      <c r="E208" s="1" t="s">
        <v>36</v>
      </c>
      <c r="F208" s="1" t="s">
        <v>45</v>
      </c>
      <c r="G208">
        <v>350000</v>
      </c>
      <c r="H208" s="1">
        <v>3</v>
      </c>
      <c r="I208" s="1" t="s">
        <v>28</v>
      </c>
      <c r="J208" s="1" t="s">
        <v>29</v>
      </c>
      <c r="K208" s="15">
        <v>1050000</v>
      </c>
      <c r="N208" s="29">
        <f t="shared" si="3"/>
        <v>1050000</v>
      </c>
    </row>
    <row r="209" spans="1:14" x14ac:dyDescent="0.2">
      <c r="A209" s="2" t="s">
        <v>246</v>
      </c>
      <c r="B209" s="3">
        <v>45721</v>
      </c>
      <c r="C209" s="10" t="s">
        <v>21</v>
      </c>
      <c r="D209" s="10" t="s">
        <v>22</v>
      </c>
      <c r="E209" s="1" t="s">
        <v>47</v>
      </c>
      <c r="F209" s="1" t="s">
        <v>34</v>
      </c>
      <c r="G209">
        <v>75000</v>
      </c>
      <c r="H209" s="1">
        <v>1</v>
      </c>
      <c r="I209" s="1" t="s">
        <v>28</v>
      </c>
      <c r="J209" s="1" t="s">
        <v>37</v>
      </c>
      <c r="K209" s="15">
        <v>75000</v>
      </c>
      <c r="N209" s="29">
        <f t="shared" si="3"/>
        <v>75000</v>
      </c>
    </row>
    <row r="210" spans="1:14" x14ac:dyDescent="0.2">
      <c r="A210" s="2" t="s">
        <v>247</v>
      </c>
      <c r="B210" s="3">
        <v>45677</v>
      </c>
      <c r="C210" s="10" t="s">
        <v>17</v>
      </c>
      <c r="D210" s="10" t="s">
        <v>18</v>
      </c>
      <c r="E210" s="1" t="s">
        <v>31</v>
      </c>
      <c r="F210" s="1" t="s">
        <v>41</v>
      </c>
      <c r="G210">
        <v>300000</v>
      </c>
      <c r="H210" s="1">
        <v>2</v>
      </c>
      <c r="I210" s="1" t="s">
        <v>28</v>
      </c>
      <c r="J210" s="1" t="s">
        <v>29</v>
      </c>
      <c r="K210" s="15">
        <v>600000</v>
      </c>
      <c r="N210" s="29">
        <f t="shared" si="3"/>
        <v>600000</v>
      </c>
    </row>
    <row r="211" spans="1:14" x14ac:dyDescent="0.2">
      <c r="A211" s="2" t="s">
        <v>248</v>
      </c>
      <c r="B211" s="3">
        <v>45812</v>
      </c>
      <c r="C211" s="10" t="s">
        <v>24</v>
      </c>
      <c r="D211" s="10" t="s">
        <v>16</v>
      </c>
      <c r="E211" s="1" t="s">
        <v>47</v>
      </c>
      <c r="F211" s="1" t="s">
        <v>60</v>
      </c>
      <c r="G211">
        <v>240000</v>
      </c>
      <c r="H211" s="1">
        <v>2</v>
      </c>
      <c r="I211" s="1" t="s">
        <v>39</v>
      </c>
      <c r="J211" s="1" t="s">
        <v>37</v>
      </c>
      <c r="K211" s="15">
        <v>480000</v>
      </c>
      <c r="N211" s="29">
        <f t="shared" si="3"/>
        <v>480000</v>
      </c>
    </row>
    <row r="212" spans="1:14" x14ac:dyDescent="0.2">
      <c r="A212" s="2" t="s">
        <v>249</v>
      </c>
      <c r="B212" s="3">
        <v>45786</v>
      </c>
      <c r="C212" s="10" t="s">
        <v>23</v>
      </c>
      <c r="D212" s="10" t="s">
        <v>12</v>
      </c>
      <c r="E212" s="1" t="s">
        <v>26</v>
      </c>
      <c r="F212" s="1" t="s">
        <v>34</v>
      </c>
      <c r="G212">
        <v>375000</v>
      </c>
      <c r="H212" s="1">
        <v>2</v>
      </c>
      <c r="I212" s="1" t="s">
        <v>39</v>
      </c>
      <c r="J212" s="1" t="s">
        <v>29</v>
      </c>
      <c r="K212" s="15">
        <v>750000</v>
      </c>
      <c r="N212" s="29">
        <f t="shared" si="3"/>
        <v>750000</v>
      </c>
    </row>
    <row r="213" spans="1:14" x14ac:dyDescent="0.2">
      <c r="A213" s="2" t="s">
        <v>250</v>
      </c>
      <c r="B213" s="3">
        <v>45687</v>
      </c>
      <c r="C213" s="10" t="s">
        <v>11</v>
      </c>
      <c r="D213" s="10" t="s">
        <v>12</v>
      </c>
      <c r="E213" s="1" t="s">
        <v>47</v>
      </c>
      <c r="F213" s="1" t="s">
        <v>41</v>
      </c>
      <c r="G213">
        <v>350000</v>
      </c>
      <c r="H213" s="1">
        <v>1</v>
      </c>
      <c r="I213" s="1" t="s">
        <v>39</v>
      </c>
      <c r="J213" s="1" t="s">
        <v>29</v>
      </c>
      <c r="K213" s="15">
        <v>350000</v>
      </c>
      <c r="N213" s="29">
        <f t="shared" si="3"/>
        <v>350000</v>
      </c>
    </row>
    <row r="214" spans="1:14" x14ac:dyDescent="0.2">
      <c r="A214" s="2" t="s">
        <v>251</v>
      </c>
      <c r="B214" s="3">
        <v>45676</v>
      </c>
      <c r="C214" s="10" t="s">
        <v>17</v>
      </c>
      <c r="D214" s="10" t="s">
        <v>18</v>
      </c>
      <c r="E214" s="1" t="s">
        <v>47</v>
      </c>
      <c r="F214" s="1" t="s">
        <v>41</v>
      </c>
      <c r="G214">
        <v>300000</v>
      </c>
      <c r="H214" s="1">
        <v>1</v>
      </c>
      <c r="I214" s="1" t="s">
        <v>39</v>
      </c>
      <c r="J214" s="1" t="s">
        <v>37</v>
      </c>
      <c r="K214" s="15">
        <v>300000</v>
      </c>
      <c r="N214" s="29">
        <f t="shared" si="3"/>
        <v>300000</v>
      </c>
    </row>
    <row r="215" spans="1:14" x14ac:dyDescent="0.2">
      <c r="A215" s="2" t="s">
        <v>252</v>
      </c>
      <c r="B215" s="3">
        <v>45719</v>
      </c>
      <c r="C215" s="10" t="s">
        <v>19</v>
      </c>
      <c r="D215" s="10" t="s">
        <v>20</v>
      </c>
      <c r="E215" s="1" t="s">
        <v>31</v>
      </c>
      <c r="F215" s="1" t="s">
        <v>27</v>
      </c>
      <c r="G215">
        <v>250000</v>
      </c>
      <c r="H215" s="1">
        <v>2</v>
      </c>
      <c r="I215" s="1" t="s">
        <v>39</v>
      </c>
      <c r="J215" s="1" t="s">
        <v>29</v>
      </c>
      <c r="K215" s="15">
        <v>500000</v>
      </c>
      <c r="N215" s="29">
        <f t="shared" si="3"/>
        <v>500000</v>
      </c>
    </row>
    <row r="216" spans="1:14" x14ac:dyDescent="0.2">
      <c r="A216" s="2" t="s">
        <v>253</v>
      </c>
      <c r="B216" s="3">
        <v>45815</v>
      </c>
      <c r="C216" s="10" t="s">
        <v>24</v>
      </c>
      <c r="D216" s="10" t="s">
        <v>16</v>
      </c>
      <c r="E216" s="1" t="s">
        <v>47</v>
      </c>
      <c r="F216" s="1" t="s">
        <v>45</v>
      </c>
      <c r="G216">
        <v>240000</v>
      </c>
      <c r="H216" s="1">
        <v>3</v>
      </c>
      <c r="I216" s="1" t="s">
        <v>28</v>
      </c>
      <c r="J216" s="1" t="s">
        <v>37</v>
      </c>
      <c r="K216" s="15">
        <v>720000</v>
      </c>
      <c r="N216" s="29">
        <f t="shared" si="3"/>
        <v>720000</v>
      </c>
    </row>
    <row r="217" spans="1:14" x14ac:dyDescent="0.2">
      <c r="A217" s="2" t="s">
        <v>254</v>
      </c>
      <c r="B217" s="3">
        <v>45688</v>
      </c>
      <c r="C217" s="10" t="s">
        <v>21</v>
      </c>
      <c r="D217" s="10" t="s">
        <v>22</v>
      </c>
      <c r="E217" s="1" t="s">
        <v>36</v>
      </c>
      <c r="F217" s="1" t="s">
        <v>34</v>
      </c>
      <c r="G217">
        <v>75000</v>
      </c>
      <c r="H217" s="1">
        <v>1</v>
      </c>
      <c r="I217" s="1" t="s">
        <v>39</v>
      </c>
      <c r="J217" s="1" t="s">
        <v>29</v>
      </c>
      <c r="K217" s="15">
        <v>75000</v>
      </c>
      <c r="N217" s="29">
        <f t="shared" si="3"/>
        <v>75000</v>
      </c>
    </row>
    <row r="218" spans="1:14" x14ac:dyDescent="0.2">
      <c r="A218" s="2" t="s">
        <v>255</v>
      </c>
      <c r="B218" s="3">
        <v>45700</v>
      </c>
      <c r="C218" s="10" t="s">
        <v>19</v>
      </c>
      <c r="D218" s="10" t="s">
        <v>20</v>
      </c>
      <c r="E218" s="1" t="s">
        <v>47</v>
      </c>
      <c r="F218" s="1" t="s">
        <v>27</v>
      </c>
      <c r="G218">
        <v>250000</v>
      </c>
      <c r="H218" s="1">
        <v>1</v>
      </c>
      <c r="I218" s="1" t="s">
        <v>28</v>
      </c>
      <c r="J218" s="1" t="s">
        <v>37</v>
      </c>
      <c r="K218" s="15">
        <v>250000</v>
      </c>
      <c r="N218" s="29">
        <f t="shared" si="3"/>
        <v>250000</v>
      </c>
    </row>
    <row r="219" spans="1:14" x14ac:dyDescent="0.2">
      <c r="A219" s="2" t="s">
        <v>256</v>
      </c>
      <c r="B219" s="3">
        <v>45719</v>
      </c>
      <c r="C219" s="10" t="s">
        <v>21</v>
      </c>
      <c r="D219" s="10" t="s">
        <v>22</v>
      </c>
      <c r="E219" s="1" t="s">
        <v>47</v>
      </c>
      <c r="F219" s="1" t="s">
        <v>41</v>
      </c>
      <c r="G219">
        <v>75000</v>
      </c>
      <c r="H219" s="1">
        <v>3</v>
      </c>
      <c r="I219" s="1" t="s">
        <v>28</v>
      </c>
      <c r="J219" s="1" t="s">
        <v>29</v>
      </c>
      <c r="K219" s="15">
        <v>225000</v>
      </c>
      <c r="N219" s="29">
        <f t="shared" si="3"/>
        <v>225000</v>
      </c>
    </row>
    <row r="220" spans="1:14" x14ac:dyDescent="0.2">
      <c r="A220" s="2" t="s">
        <v>257</v>
      </c>
      <c r="B220" s="3">
        <v>45710</v>
      </c>
      <c r="C220" s="10" t="s">
        <v>23</v>
      </c>
      <c r="D220" s="10" t="s">
        <v>12</v>
      </c>
      <c r="E220" s="1" t="s">
        <v>47</v>
      </c>
      <c r="F220" s="1" t="s">
        <v>32</v>
      </c>
      <c r="G220">
        <v>375000</v>
      </c>
      <c r="H220" s="1">
        <v>1</v>
      </c>
      <c r="I220" s="1" t="s">
        <v>39</v>
      </c>
      <c r="J220" s="1" t="s">
        <v>37</v>
      </c>
      <c r="K220" s="15">
        <v>375000</v>
      </c>
      <c r="N220" s="29">
        <f t="shared" si="3"/>
        <v>375000</v>
      </c>
    </row>
    <row r="221" spans="1:14" x14ac:dyDescent="0.2">
      <c r="A221" s="2" t="s">
        <v>258</v>
      </c>
      <c r="B221" s="3">
        <v>45747</v>
      </c>
      <c r="C221" s="10" t="s">
        <v>21</v>
      </c>
      <c r="D221" s="10" t="s">
        <v>22</v>
      </c>
      <c r="E221" s="1" t="s">
        <v>31</v>
      </c>
      <c r="F221" s="1" t="s">
        <v>60</v>
      </c>
      <c r="G221">
        <v>75000</v>
      </c>
      <c r="H221" s="1">
        <v>3</v>
      </c>
      <c r="I221" s="1" t="s">
        <v>39</v>
      </c>
      <c r="J221" s="1" t="s">
        <v>37</v>
      </c>
      <c r="K221" s="15">
        <v>225000</v>
      </c>
      <c r="N221" s="29">
        <f t="shared" si="3"/>
        <v>225000</v>
      </c>
    </row>
    <row r="222" spans="1:14" x14ac:dyDescent="0.2">
      <c r="A222" s="2" t="s">
        <v>259</v>
      </c>
      <c r="B222" s="3">
        <v>45679</v>
      </c>
      <c r="C222" s="10" t="s">
        <v>24</v>
      </c>
      <c r="D222" s="10" t="s">
        <v>16</v>
      </c>
      <c r="E222" s="1" t="s">
        <v>36</v>
      </c>
      <c r="F222" s="1" t="s">
        <v>60</v>
      </c>
      <c r="G222">
        <v>240000</v>
      </c>
      <c r="H222" s="1">
        <v>1</v>
      </c>
      <c r="I222" s="1" t="s">
        <v>28</v>
      </c>
      <c r="J222" s="1" t="s">
        <v>37</v>
      </c>
      <c r="K222" s="15">
        <v>240000</v>
      </c>
      <c r="N222" s="29">
        <f t="shared" si="3"/>
        <v>240000</v>
      </c>
    </row>
    <row r="223" spans="1:14" x14ac:dyDescent="0.2">
      <c r="A223" s="2" t="s">
        <v>260</v>
      </c>
      <c r="B223" s="3">
        <v>45755</v>
      </c>
      <c r="C223" s="10" t="s">
        <v>13</v>
      </c>
      <c r="D223" s="10" t="s">
        <v>14</v>
      </c>
      <c r="E223" s="1" t="s">
        <v>36</v>
      </c>
      <c r="F223" s="1" t="s">
        <v>45</v>
      </c>
      <c r="G223">
        <v>275000</v>
      </c>
      <c r="H223" s="1">
        <v>1</v>
      </c>
      <c r="I223" s="1" t="s">
        <v>39</v>
      </c>
      <c r="J223" s="1" t="s">
        <v>29</v>
      </c>
      <c r="K223" s="15">
        <v>275000</v>
      </c>
      <c r="N223" s="29">
        <f t="shared" si="3"/>
        <v>275000</v>
      </c>
    </row>
    <row r="224" spans="1:14" x14ac:dyDescent="0.2">
      <c r="A224" s="2" t="s">
        <v>261</v>
      </c>
      <c r="B224" s="3">
        <v>45793</v>
      </c>
      <c r="C224" s="10" t="s">
        <v>24</v>
      </c>
      <c r="D224" s="10" t="s">
        <v>16</v>
      </c>
      <c r="E224" s="1" t="s">
        <v>47</v>
      </c>
      <c r="F224" s="1" t="s">
        <v>45</v>
      </c>
      <c r="G224">
        <v>240000</v>
      </c>
      <c r="H224" s="1">
        <v>1</v>
      </c>
      <c r="I224" s="1" t="s">
        <v>39</v>
      </c>
      <c r="J224" s="1" t="s">
        <v>29</v>
      </c>
      <c r="K224" s="15">
        <v>240000</v>
      </c>
      <c r="N224" s="29">
        <f t="shared" si="3"/>
        <v>240000</v>
      </c>
    </row>
    <row r="225" spans="1:14" x14ac:dyDescent="0.2">
      <c r="A225" s="2" t="s">
        <v>262</v>
      </c>
      <c r="B225" s="3">
        <v>45669</v>
      </c>
      <c r="C225" s="10" t="s">
        <v>21</v>
      </c>
      <c r="D225" s="10" t="s">
        <v>22</v>
      </c>
      <c r="E225" s="1" t="s">
        <v>47</v>
      </c>
      <c r="F225" s="1" t="s">
        <v>41</v>
      </c>
      <c r="G225">
        <v>75000</v>
      </c>
      <c r="H225" s="1">
        <v>1</v>
      </c>
      <c r="I225" s="1" t="s">
        <v>28</v>
      </c>
      <c r="J225" s="1" t="s">
        <v>29</v>
      </c>
      <c r="K225" s="15">
        <v>75000</v>
      </c>
      <c r="N225" s="29">
        <f t="shared" si="3"/>
        <v>75000</v>
      </c>
    </row>
    <row r="226" spans="1:14" x14ac:dyDescent="0.2">
      <c r="A226" s="2" t="s">
        <v>263</v>
      </c>
      <c r="B226" s="3">
        <v>45811</v>
      </c>
      <c r="C226" s="10" t="s">
        <v>11</v>
      </c>
      <c r="D226" s="10" t="s">
        <v>12</v>
      </c>
      <c r="E226" s="1" t="s">
        <v>36</v>
      </c>
      <c r="F226" s="1" t="s">
        <v>27</v>
      </c>
      <c r="G226">
        <v>350000</v>
      </c>
      <c r="H226" s="1">
        <v>1</v>
      </c>
      <c r="I226" s="1" t="s">
        <v>39</v>
      </c>
      <c r="J226" s="1" t="s">
        <v>29</v>
      </c>
      <c r="K226" s="15">
        <v>350000</v>
      </c>
      <c r="N226" s="29">
        <f t="shared" si="3"/>
        <v>350000</v>
      </c>
    </row>
    <row r="227" spans="1:14" x14ac:dyDescent="0.2">
      <c r="A227" s="2" t="s">
        <v>264</v>
      </c>
      <c r="B227" s="3">
        <v>45708</v>
      </c>
      <c r="C227" s="10" t="s">
        <v>15</v>
      </c>
      <c r="D227" s="10" t="s">
        <v>16</v>
      </c>
      <c r="E227" s="1" t="s">
        <v>47</v>
      </c>
      <c r="F227" s="1" t="s">
        <v>45</v>
      </c>
      <c r="G227">
        <v>225000</v>
      </c>
      <c r="H227" s="1">
        <v>1</v>
      </c>
      <c r="I227" s="1" t="s">
        <v>28</v>
      </c>
      <c r="J227" s="1" t="s">
        <v>29</v>
      </c>
      <c r="K227" s="15">
        <v>225000</v>
      </c>
      <c r="N227" s="29">
        <f t="shared" si="3"/>
        <v>225000</v>
      </c>
    </row>
    <row r="228" spans="1:14" x14ac:dyDescent="0.2">
      <c r="A228" s="2" t="s">
        <v>265</v>
      </c>
      <c r="B228" s="3">
        <v>45796</v>
      </c>
      <c r="C228" s="10" t="s">
        <v>15</v>
      </c>
      <c r="D228" s="10" t="s">
        <v>16</v>
      </c>
      <c r="E228" s="1" t="s">
        <v>36</v>
      </c>
      <c r="F228" s="1" t="s">
        <v>27</v>
      </c>
      <c r="G228">
        <v>225000</v>
      </c>
      <c r="H228" s="1">
        <v>3</v>
      </c>
      <c r="I228" s="1" t="s">
        <v>39</v>
      </c>
      <c r="J228" s="1" t="s">
        <v>29</v>
      </c>
      <c r="K228" s="15">
        <v>675000</v>
      </c>
      <c r="N228" s="29">
        <f t="shared" si="3"/>
        <v>675000</v>
      </c>
    </row>
    <row r="229" spans="1:14" x14ac:dyDescent="0.2">
      <c r="A229" s="2" t="s">
        <v>266</v>
      </c>
      <c r="B229" s="3">
        <v>45783</v>
      </c>
      <c r="C229" s="10" t="s">
        <v>21</v>
      </c>
      <c r="D229" s="10" t="s">
        <v>22</v>
      </c>
      <c r="E229" s="1" t="s">
        <v>31</v>
      </c>
      <c r="F229" s="1" t="s">
        <v>27</v>
      </c>
      <c r="G229">
        <v>75000</v>
      </c>
      <c r="H229" s="1">
        <v>3</v>
      </c>
      <c r="I229" s="1" t="s">
        <v>39</v>
      </c>
      <c r="J229" s="1" t="s">
        <v>29</v>
      </c>
      <c r="K229" s="15">
        <v>225000</v>
      </c>
      <c r="N229" s="29">
        <f t="shared" si="3"/>
        <v>225000</v>
      </c>
    </row>
    <row r="230" spans="1:14" x14ac:dyDescent="0.2">
      <c r="A230" s="2" t="s">
        <v>267</v>
      </c>
      <c r="B230" s="3">
        <v>45707</v>
      </c>
      <c r="C230" s="10" t="s">
        <v>15</v>
      </c>
      <c r="D230" s="10" t="s">
        <v>16</v>
      </c>
      <c r="E230" s="1" t="s">
        <v>26</v>
      </c>
      <c r="F230" s="1" t="s">
        <v>45</v>
      </c>
      <c r="G230">
        <v>225000</v>
      </c>
      <c r="H230" s="1">
        <v>1</v>
      </c>
      <c r="I230" s="1" t="s">
        <v>28</v>
      </c>
      <c r="J230" s="1" t="s">
        <v>37</v>
      </c>
      <c r="K230" s="15">
        <v>225000</v>
      </c>
      <c r="N230" s="29">
        <f t="shared" si="3"/>
        <v>225000</v>
      </c>
    </row>
    <row r="231" spans="1:14" x14ac:dyDescent="0.2">
      <c r="A231" s="2" t="s">
        <v>268</v>
      </c>
      <c r="B231" s="3">
        <v>45706</v>
      </c>
      <c r="C231" s="10" t="s">
        <v>13</v>
      </c>
      <c r="D231" s="10" t="s">
        <v>14</v>
      </c>
      <c r="E231" s="1" t="s">
        <v>47</v>
      </c>
      <c r="F231" s="1" t="s">
        <v>45</v>
      </c>
      <c r="G231">
        <v>275000</v>
      </c>
      <c r="H231" s="1">
        <v>3</v>
      </c>
      <c r="I231" s="1" t="s">
        <v>39</v>
      </c>
      <c r="J231" s="1" t="s">
        <v>29</v>
      </c>
      <c r="K231" s="15">
        <v>825000</v>
      </c>
      <c r="N231" s="29">
        <f t="shared" si="3"/>
        <v>825000</v>
      </c>
    </row>
    <row r="232" spans="1:14" x14ac:dyDescent="0.2">
      <c r="A232" s="2" t="s">
        <v>269</v>
      </c>
      <c r="B232" s="3">
        <v>45716</v>
      </c>
      <c r="C232" s="10" t="s">
        <v>11</v>
      </c>
      <c r="D232" s="10" t="s">
        <v>12</v>
      </c>
      <c r="E232" s="1" t="s">
        <v>26</v>
      </c>
      <c r="F232" s="1" t="s">
        <v>27</v>
      </c>
      <c r="G232">
        <v>350000</v>
      </c>
      <c r="H232" s="1">
        <v>2</v>
      </c>
      <c r="I232" s="1" t="s">
        <v>28</v>
      </c>
      <c r="J232" s="1" t="s">
        <v>29</v>
      </c>
      <c r="K232" s="15">
        <v>700000</v>
      </c>
      <c r="N232" s="29">
        <f t="shared" si="3"/>
        <v>700000</v>
      </c>
    </row>
    <row r="233" spans="1:14" x14ac:dyDescent="0.2">
      <c r="A233" s="2" t="s">
        <v>270</v>
      </c>
      <c r="B233" s="3">
        <v>45687</v>
      </c>
      <c r="C233" s="10" t="s">
        <v>11</v>
      </c>
      <c r="D233" s="10" t="s">
        <v>12</v>
      </c>
      <c r="E233" s="1" t="s">
        <v>36</v>
      </c>
      <c r="F233" s="1" t="s">
        <v>45</v>
      </c>
      <c r="G233">
        <v>350000</v>
      </c>
      <c r="H233" s="1">
        <v>3</v>
      </c>
      <c r="I233" s="1" t="s">
        <v>39</v>
      </c>
      <c r="J233" s="1" t="s">
        <v>29</v>
      </c>
      <c r="K233" s="15">
        <v>1050000</v>
      </c>
      <c r="N233" s="29">
        <f t="shared" si="3"/>
        <v>1050000</v>
      </c>
    </row>
    <row r="234" spans="1:14" x14ac:dyDescent="0.2">
      <c r="A234" s="2" t="s">
        <v>271</v>
      </c>
      <c r="B234" s="3">
        <v>45817</v>
      </c>
      <c r="C234" s="10" t="s">
        <v>17</v>
      </c>
      <c r="D234" s="10" t="s">
        <v>18</v>
      </c>
      <c r="E234" s="1" t="s">
        <v>36</v>
      </c>
      <c r="F234" s="1" t="s">
        <v>60</v>
      </c>
      <c r="G234">
        <v>300000</v>
      </c>
      <c r="H234" s="1">
        <v>3</v>
      </c>
      <c r="I234" s="1" t="s">
        <v>28</v>
      </c>
      <c r="J234" s="1" t="s">
        <v>37</v>
      </c>
      <c r="K234" s="15">
        <v>900000</v>
      </c>
      <c r="N234" s="29">
        <f t="shared" si="3"/>
        <v>900000</v>
      </c>
    </row>
    <row r="235" spans="1:14" x14ac:dyDescent="0.2">
      <c r="A235" s="2" t="s">
        <v>272</v>
      </c>
      <c r="B235" s="3">
        <v>45756</v>
      </c>
      <c r="C235" s="10" t="s">
        <v>13</v>
      </c>
      <c r="D235" s="10" t="s">
        <v>14</v>
      </c>
      <c r="E235" s="1" t="s">
        <v>26</v>
      </c>
      <c r="F235" s="1" t="s">
        <v>27</v>
      </c>
      <c r="G235">
        <v>275000</v>
      </c>
      <c r="H235" s="1">
        <v>3</v>
      </c>
      <c r="I235" s="1" t="s">
        <v>39</v>
      </c>
      <c r="J235" s="1" t="s">
        <v>37</v>
      </c>
      <c r="K235" s="15">
        <v>825000</v>
      </c>
      <c r="N235" s="29">
        <f t="shared" si="3"/>
        <v>825000</v>
      </c>
    </row>
    <row r="236" spans="1:14" x14ac:dyDescent="0.2">
      <c r="A236" s="2" t="s">
        <v>273</v>
      </c>
      <c r="B236" s="3">
        <v>45778</v>
      </c>
      <c r="C236" s="10" t="s">
        <v>17</v>
      </c>
      <c r="D236" s="10" t="s">
        <v>18</v>
      </c>
      <c r="E236" s="1" t="s">
        <v>26</v>
      </c>
      <c r="F236" s="1" t="s">
        <v>32</v>
      </c>
      <c r="G236">
        <v>300000</v>
      </c>
      <c r="H236" s="1">
        <v>1</v>
      </c>
      <c r="I236" s="1" t="s">
        <v>39</v>
      </c>
      <c r="J236" s="1" t="s">
        <v>37</v>
      </c>
      <c r="K236" s="15">
        <v>300000</v>
      </c>
      <c r="N236" s="29">
        <f t="shared" si="3"/>
        <v>300000</v>
      </c>
    </row>
    <row r="237" spans="1:14" x14ac:dyDescent="0.2">
      <c r="A237" s="2" t="s">
        <v>274</v>
      </c>
      <c r="B237" s="3">
        <v>45834</v>
      </c>
      <c r="C237" s="10" t="s">
        <v>24</v>
      </c>
      <c r="D237" s="10" t="s">
        <v>16</v>
      </c>
      <c r="E237" s="1" t="s">
        <v>47</v>
      </c>
      <c r="F237" s="1" t="s">
        <v>32</v>
      </c>
      <c r="G237">
        <v>240000</v>
      </c>
      <c r="H237" s="1">
        <v>1</v>
      </c>
      <c r="I237" s="1" t="s">
        <v>28</v>
      </c>
      <c r="J237" s="1" t="s">
        <v>29</v>
      </c>
      <c r="K237" s="15">
        <v>240000</v>
      </c>
      <c r="N237" s="29">
        <f t="shared" si="3"/>
        <v>240000</v>
      </c>
    </row>
    <row r="238" spans="1:14" x14ac:dyDescent="0.2">
      <c r="A238" s="2" t="s">
        <v>275</v>
      </c>
      <c r="B238" s="3">
        <v>45837</v>
      </c>
      <c r="C238" s="10" t="s">
        <v>11</v>
      </c>
      <c r="D238" s="10" t="s">
        <v>12</v>
      </c>
      <c r="E238" s="1" t="s">
        <v>47</v>
      </c>
      <c r="F238" s="1" t="s">
        <v>60</v>
      </c>
      <c r="G238">
        <v>350000</v>
      </c>
      <c r="H238" s="1">
        <v>1</v>
      </c>
      <c r="I238" s="1" t="s">
        <v>39</v>
      </c>
      <c r="J238" s="1" t="s">
        <v>29</v>
      </c>
      <c r="K238" s="15">
        <v>350000</v>
      </c>
      <c r="N238" s="29">
        <f t="shared" si="3"/>
        <v>350000</v>
      </c>
    </row>
    <row r="239" spans="1:14" x14ac:dyDescent="0.2">
      <c r="A239" s="2" t="s">
        <v>276</v>
      </c>
      <c r="B239" s="3">
        <v>45773</v>
      </c>
      <c r="C239" s="10" t="s">
        <v>23</v>
      </c>
      <c r="D239" s="10" t="s">
        <v>12</v>
      </c>
      <c r="E239" s="1" t="s">
        <v>47</v>
      </c>
      <c r="F239" s="1" t="s">
        <v>41</v>
      </c>
      <c r="G239">
        <v>375000</v>
      </c>
      <c r="H239" s="1">
        <v>2</v>
      </c>
      <c r="I239" s="1" t="s">
        <v>28</v>
      </c>
      <c r="J239" s="1" t="s">
        <v>29</v>
      </c>
      <c r="K239" s="15">
        <v>750000</v>
      </c>
      <c r="N239" s="29">
        <f t="shared" si="3"/>
        <v>750000</v>
      </c>
    </row>
    <row r="240" spans="1:14" x14ac:dyDescent="0.2">
      <c r="A240" s="2" t="s">
        <v>277</v>
      </c>
      <c r="B240" s="3">
        <v>45752</v>
      </c>
      <c r="C240" s="10" t="s">
        <v>13</v>
      </c>
      <c r="D240" s="10" t="s">
        <v>14</v>
      </c>
      <c r="E240" s="1" t="s">
        <v>47</v>
      </c>
      <c r="F240" s="1" t="s">
        <v>41</v>
      </c>
      <c r="G240">
        <v>275000</v>
      </c>
      <c r="H240" s="1">
        <v>1</v>
      </c>
      <c r="I240" s="1" t="s">
        <v>28</v>
      </c>
      <c r="J240" s="1" t="s">
        <v>29</v>
      </c>
      <c r="K240" s="15">
        <v>275000</v>
      </c>
      <c r="N240" s="29">
        <f t="shared" si="3"/>
        <v>275000</v>
      </c>
    </row>
    <row r="241" spans="1:14" x14ac:dyDescent="0.2">
      <c r="A241" s="2" t="s">
        <v>278</v>
      </c>
      <c r="B241" s="3">
        <v>45675</v>
      </c>
      <c r="C241" s="10" t="s">
        <v>11</v>
      </c>
      <c r="D241" s="10" t="s">
        <v>12</v>
      </c>
      <c r="E241" s="1" t="s">
        <v>47</v>
      </c>
      <c r="F241" s="1" t="s">
        <v>34</v>
      </c>
      <c r="G241">
        <v>350000</v>
      </c>
      <c r="H241" s="1">
        <v>1</v>
      </c>
      <c r="I241" s="1" t="s">
        <v>39</v>
      </c>
      <c r="J241" s="1" t="s">
        <v>29</v>
      </c>
      <c r="K241" s="15">
        <v>350000</v>
      </c>
      <c r="N241" s="29">
        <f t="shared" si="3"/>
        <v>350000</v>
      </c>
    </row>
    <row r="242" spans="1:14" x14ac:dyDescent="0.2">
      <c r="A242" s="2" t="s">
        <v>279</v>
      </c>
      <c r="B242" s="3">
        <v>45694</v>
      </c>
      <c r="C242" s="10" t="s">
        <v>19</v>
      </c>
      <c r="D242" s="10" t="s">
        <v>20</v>
      </c>
      <c r="E242" s="1" t="s">
        <v>36</v>
      </c>
      <c r="F242" s="1" t="s">
        <v>41</v>
      </c>
      <c r="G242">
        <v>250000</v>
      </c>
      <c r="H242" s="1">
        <v>2</v>
      </c>
      <c r="I242" s="1" t="s">
        <v>28</v>
      </c>
      <c r="J242" s="1" t="s">
        <v>37</v>
      </c>
      <c r="K242" s="15">
        <v>500000</v>
      </c>
      <c r="N242" s="29">
        <f t="shared" si="3"/>
        <v>500000</v>
      </c>
    </row>
    <row r="243" spans="1:14" x14ac:dyDescent="0.2">
      <c r="A243" s="2" t="s">
        <v>280</v>
      </c>
      <c r="B243" s="3">
        <v>45701</v>
      </c>
      <c r="C243" s="10" t="s">
        <v>11</v>
      </c>
      <c r="D243" s="10" t="s">
        <v>12</v>
      </c>
      <c r="E243" s="1" t="s">
        <v>47</v>
      </c>
      <c r="F243" s="1" t="s">
        <v>60</v>
      </c>
      <c r="G243">
        <v>350000</v>
      </c>
      <c r="H243" s="1">
        <v>2</v>
      </c>
      <c r="I243" s="1" t="s">
        <v>28</v>
      </c>
      <c r="J243" s="1" t="s">
        <v>37</v>
      </c>
      <c r="K243" s="15">
        <v>700000</v>
      </c>
      <c r="N243" s="29">
        <f t="shared" si="3"/>
        <v>700000</v>
      </c>
    </row>
    <row r="244" spans="1:14" x14ac:dyDescent="0.2">
      <c r="A244" s="2" t="s">
        <v>281</v>
      </c>
      <c r="B244" s="3">
        <v>45767</v>
      </c>
      <c r="C244" s="10" t="s">
        <v>21</v>
      </c>
      <c r="D244" s="10" t="s">
        <v>22</v>
      </c>
      <c r="E244" s="1" t="s">
        <v>47</v>
      </c>
      <c r="F244" s="1" t="s">
        <v>27</v>
      </c>
      <c r="G244">
        <v>75000</v>
      </c>
      <c r="H244" s="1">
        <v>2</v>
      </c>
      <c r="I244" s="1" t="s">
        <v>39</v>
      </c>
      <c r="J244" s="1" t="s">
        <v>29</v>
      </c>
      <c r="K244" s="15">
        <v>150000</v>
      </c>
      <c r="N244" s="29">
        <f t="shared" si="3"/>
        <v>150000</v>
      </c>
    </row>
    <row r="245" spans="1:14" x14ac:dyDescent="0.2">
      <c r="A245" s="2" t="s">
        <v>282</v>
      </c>
      <c r="B245" s="3">
        <v>45728</v>
      </c>
      <c r="C245" s="10" t="s">
        <v>19</v>
      </c>
      <c r="D245" s="10" t="s">
        <v>20</v>
      </c>
      <c r="E245" s="1" t="s">
        <v>31</v>
      </c>
      <c r="F245" s="1" t="s">
        <v>34</v>
      </c>
      <c r="G245">
        <v>250000</v>
      </c>
      <c r="H245" s="1">
        <v>1</v>
      </c>
      <c r="I245" s="1" t="s">
        <v>28</v>
      </c>
      <c r="J245" s="1" t="s">
        <v>37</v>
      </c>
      <c r="K245" s="15">
        <v>250000</v>
      </c>
      <c r="N245" s="29">
        <f t="shared" si="3"/>
        <v>250000</v>
      </c>
    </row>
    <row r="246" spans="1:14" x14ac:dyDescent="0.2">
      <c r="A246" s="2" t="s">
        <v>283</v>
      </c>
      <c r="B246" s="3">
        <v>45768</v>
      </c>
      <c r="C246" s="10" t="s">
        <v>17</v>
      </c>
      <c r="D246" s="10" t="s">
        <v>18</v>
      </c>
      <c r="E246" s="1" t="s">
        <v>47</v>
      </c>
      <c r="F246" s="1" t="s">
        <v>32</v>
      </c>
      <c r="G246">
        <v>300000</v>
      </c>
      <c r="H246" s="1">
        <v>3</v>
      </c>
      <c r="I246" s="1" t="s">
        <v>28</v>
      </c>
      <c r="J246" s="1" t="s">
        <v>29</v>
      </c>
      <c r="K246" s="15">
        <v>900000</v>
      </c>
      <c r="N246" s="29">
        <f t="shared" si="3"/>
        <v>900000</v>
      </c>
    </row>
    <row r="247" spans="1:14" x14ac:dyDescent="0.2">
      <c r="A247" s="2" t="s">
        <v>284</v>
      </c>
      <c r="B247" s="3">
        <v>45792</v>
      </c>
      <c r="C247" s="10" t="s">
        <v>21</v>
      </c>
      <c r="D247" s="10" t="s">
        <v>22</v>
      </c>
      <c r="E247" s="1" t="s">
        <v>31</v>
      </c>
      <c r="F247" s="1" t="s">
        <v>60</v>
      </c>
      <c r="G247">
        <v>75000</v>
      </c>
      <c r="H247" s="1">
        <v>2</v>
      </c>
      <c r="I247" s="1" t="s">
        <v>39</v>
      </c>
      <c r="J247" s="1" t="s">
        <v>37</v>
      </c>
      <c r="K247" s="15">
        <v>150000</v>
      </c>
      <c r="N247" s="29">
        <f t="shared" si="3"/>
        <v>150000</v>
      </c>
    </row>
    <row r="248" spans="1:14" x14ac:dyDescent="0.2">
      <c r="A248" s="2" t="s">
        <v>285</v>
      </c>
      <c r="B248" s="3">
        <v>45699</v>
      </c>
      <c r="C248" s="10" t="s">
        <v>17</v>
      </c>
      <c r="D248" s="10" t="s">
        <v>18</v>
      </c>
      <c r="E248" s="1" t="s">
        <v>47</v>
      </c>
      <c r="F248" s="1" t="s">
        <v>45</v>
      </c>
      <c r="G248">
        <v>300000</v>
      </c>
      <c r="H248" s="1">
        <v>2</v>
      </c>
      <c r="I248" s="1" t="s">
        <v>28</v>
      </c>
      <c r="J248" s="1" t="s">
        <v>37</v>
      </c>
      <c r="K248" s="15">
        <v>600000</v>
      </c>
      <c r="N248" s="29">
        <f t="shared" si="3"/>
        <v>600000</v>
      </c>
    </row>
    <row r="249" spans="1:14" x14ac:dyDescent="0.2">
      <c r="A249" s="2" t="s">
        <v>286</v>
      </c>
      <c r="B249" s="3">
        <v>45824</v>
      </c>
      <c r="C249" s="10" t="s">
        <v>13</v>
      </c>
      <c r="D249" s="10" t="s">
        <v>14</v>
      </c>
      <c r="E249" s="1" t="s">
        <v>36</v>
      </c>
      <c r="F249" s="1" t="s">
        <v>41</v>
      </c>
      <c r="G249">
        <v>275000</v>
      </c>
      <c r="H249" s="1">
        <v>3</v>
      </c>
      <c r="I249" s="1" t="s">
        <v>39</v>
      </c>
      <c r="J249" s="1" t="s">
        <v>37</v>
      </c>
      <c r="K249" s="15">
        <v>825000</v>
      </c>
      <c r="N249" s="29">
        <f t="shared" si="3"/>
        <v>825000</v>
      </c>
    </row>
    <row r="250" spans="1:14" x14ac:dyDescent="0.2">
      <c r="A250" s="2" t="s">
        <v>287</v>
      </c>
      <c r="B250" s="3">
        <v>45689</v>
      </c>
      <c r="C250" s="10" t="s">
        <v>24</v>
      </c>
      <c r="D250" s="10" t="s">
        <v>16</v>
      </c>
      <c r="E250" s="1" t="s">
        <v>26</v>
      </c>
      <c r="F250" s="1" t="s">
        <v>32</v>
      </c>
      <c r="G250">
        <v>240000</v>
      </c>
      <c r="H250" s="1">
        <v>1</v>
      </c>
      <c r="I250" s="1" t="s">
        <v>39</v>
      </c>
      <c r="J250" s="1" t="s">
        <v>29</v>
      </c>
      <c r="K250" s="15">
        <v>240000</v>
      </c>
      <c r="N250" s="29">
        <f t="shared" si="3"/>
        <v>240000</v>
      </c>
    </row>
    <row r="251" spans="1:14" x14ac:dyDescent="0.2">
      <c r="A251" s="2" t="s">
        <v>288</v>
      </c>
      <c r="B251" s="3">
        <v>45690</v>
      </c>
      <c r="C251" s="10" t="s">
        <v>24</v>
      </c>
      <c r="D251" s="10" t="s">
        <v>16</v>
      </c>
      <c r="E251" s="1" t="s">
        <v>47</v>
      </c>
      <c r="F251" s="1" t="s">
        <v>41</v>
      </c>
      <c r="G251">
        <v>240000</v>
      </c>
      <c r="H251" s="1">
        <v>2</v>
      </c>
      <c r="I251" s="1" t="s">
        <v>39</v>
      </c>
      <c r="J251" s="1" t="s">
        <v>29</v>
      </c>
      <c r="K251" s="15">
        <v>480000</v>
      </c>
      <c r="N251" s="29">
        <f t="shared" si="3"/>
        <v>480000</v>
      </c>
    </row>
    <row r="252" spans="1:14" x14ac:dyDescent="0.2">
      <c r="A252" s="2" t="s">
        <v>289</v>
      </c>
      <c r="B252" s="3">
        <v>45703</v>
      </c>
      <c r="C252" s="10" t="s">
        <v>21</v>
      </c>
      <c r="D252" s="10" t="s">
        <v>22</v>
      </c>
      <c r="E252" s="1" t="s">
        <v>36</v>
      </c>
      <c r="F252" s="1" t="s">
        <v>45</v>
      </c>
      <c r="G252">
        <v>75000</v>
      </c>
      <c r="H252" s="1">
        <v>2</v>
      </c>
      <c r="I252" s="1" t="s">
        <v>39</v>
      </c>
      <c r="J252" s="1" t="s">
        <v>29</v>
      </c>
      <c r="K252" s="15">
        <v>150000</v>
      </c>
      <c r="N252" s="29">
        <f t="shared" si="3"/>
        <v>150000</v>
      </c>
    </row>
    <row r="253" spans="1:14" x14ac:dyDescent="0.2">
      <c r="A253" s="2" t="s">
        <v>290</v>
      </c>
      <c r="B253" s="3">
        <v>45787</v>
      </c>
      <c r="C253" s="10" t="s">
        <v>21</v>
      </c>
      <c r="D253" s="10" t="s">
        <v>22</v>
      </c>
      <c r="E253" s="1" t="s">
        <v>31</v>
      </c>
      <c r="F253" s="1" t="s">
        <v>45</v>
      </c>
      <c r="G253">
        <v>75000</v>
      </c>
      <c r="H253" s="1">
        <v>2</v>
      </c>
      <c r="I253" s="1" t="s">
        <v>28</v>
      </c>
      <c r="J253" s="1" t="s">
        <v>29</v>
      </c>
      <c r="K253" s="15">
        <v>150000</v>
      </c>
      <c r="N253" s="29">
        <f t="shared" si="3"/>
        <v>150000</v>
      </c>
    </row>
    <row r="254" spans="1:14" x14ac:dyDescent="0.2">
      <c r="A254" s="2" t="s">
        <v>291</v>
      </c>
      <c r="B254" s="3">
        <v>45779</v>
      </c>
      <c r="C254" s="10" t="s">
        <v>24</v>
      </c>
      <c r="D254" s="10" t="s">
        <v>16</v>
      </c>
      <c r="E254" s="1" t="s">
        <v>31</v>
      </c>
      <c r="F254" s="1" t="s">
        <v>32</v>
      </c>
      <c r="G254">
        <v>240000</v>
      </c>
      <c r="H254" s="1">
        <v>3</v>
      </c>
      <c r="I254" s="1" t="s">
        <v>28</v>
      </c>
      <c r="J254" s="1" t="s">
        <v>37</v>
      </c>
      <c r="K254" s="15">
        <v>720000</v>
      </c>
      <c r="N254" s="29">
        <f t="shared" si="3"/>
        <v>720000</v>
      </c>
    </row>
    <row r="255" spans="1:14" x14ac:dyDescent="0.2">
      <c r="A255" s="2" t="s">
        <v>292</v>
      </c>
      <c r="B255" s="3">
        <v>45745</v>
      </c>
      <c r="C255" s="10" t="s">
        <v>17</v>
      </c>
      <c r="D255" s="10" t="s">
        <v>18</v>
      </c>
      <c r="E255" s="1" t="s">
        <v>26</v>
      </c>
      <c r="F255" s="1" t="s">
        <v>60</v>
      </c>
      <c r="G255">
        <v>300000</v>
      </c>
      <c r="H255" s="1">
        <v>2</v>
      </c>
      <c r="I255" s="1" t="s">
        <v>39</v>
      </c>
      <c r="J255" s="1" t="s">
        <v>37</v>
      </c>
      <c r="K255" s="15">
        <v>600000</v>
      </c>
      <c r="N255" s="29">
        <f t="shared" si="3"/>
        <v>600000</v>
      </c>
    </row>
    <row r="256" spans="1:14" x14ac:dyDescent="0.2">
      <c r="A256" s="2" t="s">
        <v>293</v>
      </c>
      <c r="B256" s="3">
        <v>45719</v>
      </c>
      <c r="C256" s="10" t="s">
        <v>19</v>
      </c>
      <c r="D256" s="10" t="s">
        <v>20</v>
      </c>
      <c r="E256" s="1" t="s">
        <v>31</v>
      </c>
      <c r="F256" s="1" t="s">
        <v>60</v>
      </c>
      <c r="G256">
        <v>250000</v>
      </c>
      <c r="H256" s="1">
        <v>3</v>
      </c>
      <c r="I256" s="1" t="s">
        <v>39</v>
      </c>
      <c r="J256" s="1" t="s">
        <v>29</v>
      </c>
      <c r="K256" s="15">
        <v>750000</v>
      </c>
      <c r="N256" s="29">
        <f t="shared" si="3"/>
        <v>750000</v>
      </c>
    </row>
    <row r="257" spans="1:14" x14ac:dyDescent="0.2">
      <c r="A257" s="2" t="s">
        <v>294</v>
      </c>
      <c r="B257" s="3">
        <v>45711</v>
      </c>
      <c r="C257" s="10" t="s">
        <v>21</v>
      </c>
      <c r="D257" s="10" t="s">
        <v>22</v>
      </c>
      <c r="E257" s="1" t="s">
        <v>36</v>
      </c>
      <c r="F257" s="1" t="s">
        <v>45</v>
      </c>
      <c r="G257">
        <v>75000</v>
      </c>
      <c r="H257" s="1">
        <v>2</v>
      </c>
      <c r="I257" s="1" t="s">
        <v>39</v>
      </c>
      <c r="J257" s="1" t="s">
        <v>37</v>
      </c>
      <c r="K257" s="15">
        <v>150000</v>
      </c>
      <c r="N257" s="29">
        <f t="shared" si="3"/>
        <v>150000</v>
      </c>
    </row>
    <row r="258" spans="1:14" x14ac:dyDescent="0.2">
      <c r="A258" s="2" t="s">
        <v>295</v>
      </c>
      <c r="B258" s="3">
        <v>45830</v>
      </c>
      <c r="C258" s="10" t="s">
        <v>11</v>
      </c>
      <c r="D258" s="10" t="s">
        <v>12</v>
      </c>
      <c r="E258" s="1" t="s">
        <v>26</v>
      </c>
      <c r="F258" s="1" t="s">
        <v>27</v>
      </c>
      <c r="G258">
        <v>350000</v>
      </c>
      <c r="H258" s="1">
        <v>1</v>
      </c>
      <c r="I258" s="1" t="s">
        <v>28</v>
      </c>
      <c r="J258" s="1" t="s">
        <v>29</v>
      </c>
      <c r="K258" s="15">
        <v>350000</v>
      </c>
      <c r="N258" s="29">
        <f t="shared" si="3"/>
        <v>350000</v>
      </c>
    </row>
    <row r="259" spans="1:14" x14ac:dyDescent="0.2">
      <c r="A259" s="2" t="s">
        <v>296</v>
      </c>
      <c r="B259" s="3">
        <v>45813</v>
      </c>
      <c r="C259" s="10" t="s">
        <v>15</v>
      </c>
      <c r="D259" s="10" t="s">
        <v>16</v>
      </c>
      <c r="E259" s="1" t="s">
        <v>36</v>
      </c>
      <c r="F259" s="1" t="s">
        <v>34</v>
      </c>
      <c r="G259">
        <v>225000</v>
      </c>
      <c r="H259" s="1">
        <v>3</v>
      </c>
      <c r="I259" s="1" t="s">
        <v>39</v>
      </c>
      <c r="J259" s="1" t="s">
        <v>29</v>
      </c>
      <c r="K259" s="15">
        <v>675000</v>
      </c>
      <c r="N259" s="29">
        <f t="shared" ref="N259:N322" si="4">G259*H259</f>
        <v>675000</v>
      </c>
    </row>
    <row r="260" spans="1:14" x14ac:dyDescent="0.2">
      <c r="A260" s="2" t="s">
        <v>297</v>
      </c>
      <c r="B260" s="3">
        <v>45837</v>
      </c>
      <c r="C260" s="10" t="s">
        <v>15</v>
      </c>
      <c r="D260" s="10" t="s">
        <v>16</v>
      </c>
      <c r="E260" s="1" t="s">
        <v>47</v>
      </c>
      <c r="F260" s="1" t="s">
        <v>32</v>
      </c>
      <c r="G260">
        <v>225000</v>
      </c>
      <c r="H260" s="1">
        <v>2</v>
      </c>
      <c r="I260" s="1" t="s">
        <v>28</v>
      </c>
      <c r="J260" s="1" t="s">
        <v>29</v>
      </c>
      <c r="K260" s="15">
        <v>450000</v>
      </c>
      <c r="N260" s="29">
        <f t="shared" si="4"/>
        <v>450000</v>
      </c>
    </row>
    <row r="261" spans="1:14" x14ac:dyDescent="0.2">
      <c r="A261" s="2" t="s">
        <v>298</v>
      </c>
      <c r="B261" s="3">
        <v>45737</v>
      </c>
      <c r="C261" s="10" t="s">
        <v>19</v>
      </c>
      <c r="D261" s="10" t="s">
        <v>20</v>
      </c>
      <c r="E261" s="1" t="s">
        <v>47</v>
      </c>
      <c r="F261" s="1" t="s">
        <v>32</v>
      </c>
      <c r="G261">
        <v>250000</v>
      </c>
      <c r="H261" s="1">
        <v>1</v>
      </c>
      <c r="I261" s="1" t="s">
        <v>28</v>
      </c>
      <c r="J261" s="1" t="s">
        <v>29</v>
      </c>
      <c r="K261" s="15">
        <v>250000</v>
      </c>
      <c r="N261" s="29">
        <f t="shared" si="4"/>
        <v>250000</v>
      </c>
    </row>
    <row r="262" spans="1:14" x14ac:dyDescent="0.2">
      <c r="A262" s="2" t="s">
        <v>299</v>
      </c>
      <c r="B262" s="3">
        <v>45758</v>
      </c>
      <c r="C262" s="10" t="s">
        <v>23</v>
      </c>
      <c r="D262" s="10" t="s">
        <v>12</v>
      </c>
      <c r="E262" s="1" t="s">
        <v>26</v>
      </c>
      <c r="F262" s="1" t="s">
        <v>41</v>
      </c>
      <c r="G262">
        <v>375000</v>
      </c>
      <c r="H262" s="1">
        <v>1</v>
      </c>
      <c r="I262" s="1" t="s">
        <v>28</v>
      </c>
      <c r="J262" s="1" t="s">
        <v>37</v>
      </c>
      <c r="K262" s="15">
        <v>375000</v>
      </c>
      <c r="N262" s="29">
        <f t="shared" si="4"/>
        <v>375000</v>
      </c>
    </row>
    <row r="263" spans="1:14" x14ac:dyDescent="0.2">
      <c r="A263" s="2" t="s">
        <v>300</v>
      </c>
      <c r="B263" s="3">
        <v>45760</v>
      </c>
      <c r="C263" s="10" t="s">
        <v>21</v>
      </c>
      <c r="D263" s="10" t="s">
        <v>22</v>
      </c>
      <c r="E263" s="1" t="s">
        <v>47</v>
      </c>
      <c r="F263" s="1" t="s">
        <v>45</v>
      </c>
      <c r="G263">
        <v>75000</v>
      </c>
      <c r="H263" s="1">
        <v>2</v>
      </c>
      <c r="I263" s="1" t="s">
        <v>39</v>
      </c>
      <c r="J263" s="1" t="s">
        <v>37</v>
      </c>
      <c r="K263" s="15">
        <v>150000</v>
      </c>
      <c r="N263" s="29">
        <f t="shared" si="4"/>
        <v>150000</v>
      </c>
    </row>
    <row r="264" spans="1:14" x14ac:dyDescent="0.2">
      <c r="A264" s="2" t="s">
        <v>301</v>
      </c>
      <c r="B264" s="3">
        <v>45742</v>
      </c>
      <c r="C264" s="10" t="s">
        <v>15</v>
      </c>
      <c r="D264" s="10" t="s">
        <v>16</v>
      </c>
      <c r="E264" s="1" t="s">
        <v>36</v>
      </c>
      <c r="F264" s="1" t="s">
        <v>41</v>
      </c>
      <c r="G264">
        <v>225000</v>
      </c>
      <c r="H264" s="1">
        <v>2</v>
      </c>
      <c r="I264" s="1" t="s">
        <v>39</v>
      </c>
      <c r="J264" s="1" t="s">
        <v>29</v>
      </c>
      <c r="K264" s="15">
        <v>450000</v>
      </c>
      <c r="N264" s="29">
        <f t="shared" si="4"/>
        <v>450000</v>
      </c>
    </row>
    <row r="265" spans="1:14" x14ac:dyDescent="0.2">
      <c r="A265" s="2" t="s">
        <v>302</v>
      </c>
      <c r="B265" s="3">
        <v>45754</v>
      </c>
      <c r="C265" s="10" t="s">
        <v>23</v>
      </c>
      <c r="D265" s="10" t="s">
        <v>12</v>
      </c>
      <c r="E265" s="1" t="s">
        <v>31</v>
      </c>
      <c r="F265" s="1" t="s">
        <v>41</v>
      </c>
      <c r="G265">
        <v>375000</v>
      </c>
      <c r="H265" s="1">
        <v>3</v>
      </c>
      <c r="I265" s="1" t="s">
        <v>39</v>
      </c>
      <c r="J265" s="1" t="s">
        <v>29</v>
      </c>
      <c r="K265" s="15">
        <v>1125000</v>
      </c>
      <c r="N265" s="29">
        <f t="shared" si="4"/>
        <v>1125000</v>
      </c>
    </row>
    <row r="266" spans="1:14" x14ac:dyDescent="0.2">
      <c r="A266" s="2" t="s">
        <v>303</v>
      </c>
      <c r="B266" s="3">
        <v>45723</v>
      </c>
      <c r="C266" s="10" t="s">
        <v>17</v>
      </c>
      <c r="D266" s="10" t="s">
        <v>18</v>
      </c>
      <c r="E266" s="1" t="s">
        <v>47</v>
      </c>
      <c r="F266" s="1" t="s">
        <v>60</v>
      </c>
      <c r="G266">
        <v>300000</v>
      </c>
      <c r="H266" s="1">
        <v>3</v>
      </c>
      <c r="I266" s="1" t="s">
        <v>28</v>
      </c>
      <c r="J266" s="1" t="s">
        <v>29</v>
      </c>
      <c r="K266" s="15">
        <v>900000</v>
      </c>
      <c r="N266" s="29">
        <f t="shared" si="4"/>
        <v>900000</v>
      </c>
    </row>
    <row r="267" spans="1:14" x14ac:dyDescent="0.2">
      <c r="A267" s="2" t="s">
        <v>304</v>
      </c>
      <c r="B267" s="3">
        <v>45816</v>
      </c>
      <c r="C267" s="10" t="s">
        <v>21</v>
      </c>
      <c r="D267" s="10" t="s">
        <v>22</v>
      </c>
      <c r="E267" s="1" t="s">
        <v>47</v>
      </c>
      <c r="F267" s="1" t="s">
        <v>60</v>
      </c>
      <c r="G267">
        <v>75000</v>
      </c>
      <c r="H267" s="1">
        <v>3</v>
      </c>
      <c r="I267" s="1" t="s">
        <v>39</v>
      </c>
      <c r="J267" s="1" t="s">
        <v>29</v>
      </c>
      <c r="K267" s="15">
        <v>225000</v>
      </c>
      <c r="N267" s="29">
        <f t="shared" si="4"/>
        <v>225000</v>
      </c>
    </row>
    <row r="268" spans="1:14" x14ac:dyDescent="0.2">
      <c r="A268" s="2" t="s">
        <v>305</v>
      </c>
      <c r="B268" s="3">
        <v>45728</v>
      </c>
      <c r="C268" s="10" t="s">
        <v>21</v>
      </c>
      <c r="D268" s="10" t="s">
        <v>22</v>
      </c>
      <c r="E268" s="1" t="s">
        <v>36</v>
      </c>
      <c r="F268" s="1" t="s">
        <v>45</v>
      </c>
      <c r="G268">
        <v>75000</v>
      </c>
      <c r="H268" s="1">
        <v>3</v>
      </c>
      <c r="I268" s="1" t="s">
        <v>39</v>
      </c>
      <c r="J268" s="1" t="s">
        <v>29</v>
      </c>
      <c r="K268" s="15">
        <v>225000</v>
      </c>
      <c r="N268" s="29">
        <f t="shared" si="4"/>
        <v>225000</v>
      </c>
    </row>
    <row r="269" spans="1:14" x14ac:dyDescent="0.2">
      <c r="A269" s="2" t="s">
        <v>306</v>
      </c>
      <c r="B269" s="3">
        <v>45730</v>
      </c>
      <c r="C269" s="10" t="s">
        <v>24</v>
      </c>
      <c r="D269" s="10" t="s">
        <v>16</v>
      </c>
      <c r="E269" s="1" t="s">
        <v>31</v>
      </c>
      <c r="F269" s="1" t="s">
        <v>41</v>
      </c>
      <c r="G269">
        <v>240000</v>
      </c>
      <c r="H269" s="1">
        <v>2</v>
      </c>
      <c r="I269" s="1" t="s">
        <v>28</v>
      </c>
      <c r="J269" s="1" t="s">
        <v>29</v>
      </c>
      <c r="K269" s="15">
        <v>480000</v>
      </c>
      <c r="N269" s="29">
        <f t="shared" si="4"/>
        <v>480000</v>
      </c>
    </row>
    <row r="270" spans="1:14" x14ac:dyDescent="0.2">
      <c r="A270" s="2" t="s">
        <v>307</v>
      </c>
      <c r="B270" s="3">
        <v>45687</v>
      </c>
      <c r="C270" s="10" t="s">
        <v>21</v>
      </c>
      <c r="D270" s="10" t="s">
        <v>22</v>
      </c>
      <c r="E270" s="1" t="s">
        <v>47</v>
      </c>
      <c r="F270" s="1" t="s">
        <v>45</v>
      </c>
      <c r="G270">
        <v>75000</v>
      </c>
      <c r="H270" s="1">
        <v>1</v>
      </c>
      <c r="I270" s="1" t="s">
        <v>39</v>
      </c>
      <c r="J270" s="1" t="s">
        <v>29</v>
      </c>
      <c r="K270" s="15">
        <v>75000</v>
      </c>
      <c r="N270" s="29">
        <f t="shared" si="4"/>
        <v>75000</v>
      </c>
    </row>
    <row r="271" spans="1:14" x14ac:dyDescent="0.2">
      <c r="A271" s="2" t="s">
        <v>308</v>
      </c>
      <c r="B271" s="3">
        <v>45778</v>
      </c>
      <c r="C271" s="10" t="s">
        <v>11</v>
      </c>
      <c r="D271" s="10" t="s">
        <v>12</v>
      </c>
      <c r="E271" s="1" t="s">
        <v>36</v>
      </c>
      <c r="F271" s="1" t="s">
        <v>41</v>
      </c>
      <c r="G271">
        <v>350000</v>
      </c>
      <c r="H271" s="1">
        <v>2</v>
      </c>
      <c r="I271" s="1" t="s">
        <v>39</v>
      </c>
      <c r="J271" s="1" t="s">
        <v>37</v>
      </c>
      <c r="K271" s="15">
        <v>700000</v>
      </c>
      <c r="N271" s="29">
        <f t="shared" si="4"/>
        <v>700000</v>
      </c>
    </row>
    <row r="272" spans="1:14" x14ac:dyDescent="0.2">
      <c r="A272" s="2" t="s">
        <v>309</v>
      </c>
      <c r="B272" s="3">
        <v>45813</v>
      </c>
      <c r="C272" s="10" t="s">
        <v>13</v>
      </c>
      <c r="D272" s="10" t="s">
        <v>14</v>
      </c>
      <c r="E272" s="1" t="s">
        <v>47</v>
      </c>
      <c r="F272" s="1" t="s">
        <v>45</v>
      </c>
      <c r="G272">
        <v>275000</v>
      </c>
      <c r="H272" s="1">
        <v>2</v>
      </c>
      <c r="I272" s="1" t="s">
        <v>28</v>
      </c>
      <c r="J272" s="1" t="s">
        <v>29</v>
      </c>
      <c r="K272" s="15">
        <v>550000</v>
      </c>
      <c r="N272" s="29">
        <f t="shared" si="4"/>
        <v>550000</v>
      </c>
    </row>
    <row r="273" spans="1:14" x14ac:dyDescent="0.2">
      <c r="A273" s="2" t="s">
        <v>310</v>
      </c>
      <c r="B273" s="3">
        <v>45723</v>
      </c>
      <c r="C273" s="10" t="s">
        <v>11</v>
      </c>
      <c r="D273" s="10" t="s">
        <v>12</v>
      </c>
      <c r="E273" s="1" t="s">
        <v>36</v>
      </c>
      <c r="F273" s="1" t="s">
        <v>60</v>
      </c>
      <c r="G273">
        <v>350000</v>
      </c>
      <c r="H273" s="1">
        <v>3</v>
      </c>
      <c r="I273" s="1" t="s">
        <v>39</v>
      </c>
      <c r="J273" s="1" t="s">
        <v>29</v>
      </c>
      <c r="K273" s="15">
        <v>1050000</v>
      </c>
      <c r="N273" s="29">
        <f t="shared" si="4"/>
        <v>1050000</v>
      </c>
    </row>
    <row r="274" spans="1:14" x14ac:dyDescent="0.2">
      <c r="A274" s="2" t="s">
        <v>311</v>
      </c>
      <c r="B274" s="3">
        <v>45767</v>
      </c>
      <c r="C274" s="10" t="s">
        <v>23</v>
      </c>
      <c r="D274" s="10" t="s">
        <v>12</v>
      </c>
      <c r="E274" s="1" t="s">
        <v>36</v>
      </c>
      <c r="F274" s="1" t="s">
        <v>34</v>
      </c>
      <c r="G274">
        <v>375000</v>
      </c>
      <c r="H274" s="1">
        <v>3</v>
      </c>
      <c r="I274" s="1" t="s">
        <v>28</v>
      </c>
      <c r="J274" s="1" t="s">
        <v>37</v>
      </c>
      <c r="K274" s="15">
        <v>1125000</v>
      </c>
      <c r="N274" s="29">
        <f t="shared" si="4"/>
        <v>1125000</v>
      </c>
    </row>
    <row r="275" spans="1:14" x14ac:dyDescent="0.2">
      <c r="A275" s="2" t="s">
        <v>312</v>
      </c>
      <c r="B275" s="3">
        <v>45673</v>
      </c>
      <c r="C275" s="10" t="s">
        <v>15</v>
      </c>
      <c r="D275" s="10" t="s">
        <v>16</v>
      </c>
      <c r="E275" s="1" t="s">
        <v>47</v>
      </c>
      <c r="F275" s="1" t="s">
        <v>41</v>
      </c>
      <c r="G275">
        <v>225000</v>
      </c>
      <c r="H275" s="1">
        <v>1</v>
      </c>
      <c r="I275" s="1" t="s">
        <v>39</v>
      </c>
      <c r="J275" s="1" t="s">
        <v>37</v>
      </c>
      <c r="K275" s="15">
        <v>225000</v>
      </c>
      <c r="N275" s="29">
        <f t="shared" si="4"/>
        <v>225000</v>
      </c>
    </row>
    <row r="276" spans="1:14" x14ac:dyDescent="0.2">
      <c r="A276" s="2" t="s">
        <v>313</v>
      </c>
      <c r="B276" s="3">
        <v>45715</v>
      </c>
      <c r="C276" s="10" t="s">
        <v>24</v>
      </c>
      <c r="D276" s="10" t="s">
        <v>16</v>
      </c>
      <c r="E276" s="1" t="s">
        <v>36</v>
      </c>
      <c r="F276" s="1" t="s">
        <v>41</v>
      </c>
      <c r="G276">
        <v>240000</v>
      </c>
      <c r="H276" s="1">
        <v>3</v>
      </c>
      <c r="I276" s="1" t="s">
        <v>39</v>
      </c>
      <c r="J276" s="1" t="s">
        <v>37</v>
      </c>
      <c r="K276" s="15">
        <v>720000</v>
      </c>
      <c r="N276" s="29">
        <f t="shared" si="4"/>
        <v>720000</v>
      </c>
    </row>
    <row r="277" spans="1:14" x14ac:dyDescent="0.2">
      <c r="A277" s="2" t="s">
        <v>314</v>
      </c>
      <c r="B277" s="3">
        <v>45761</v>
      </c>
      <c r="C277" s="10" t="s">
        <v>19</v>
      </c>
      <c r="D277" s="10" t="s">
        <v>20</v>
      </c>
      <c r="E277" s="1" t="s">
        <v>31</v>
      </c>
      <c r="F277" s="1" t="s">
        <v>32</v>
      </c>
      <c r="G277">
        <v>250000</v>
      </c>
      <c r="H277" s="1">
        <v>2</v>
      </c>
      <c r="I277" s="1" t="s">
        <v>39</v>
      </c>
      <c r="J277" s="1" t="s">
        <v>37</v>
      </c>
      <c r="K277" s="15">
        <v>500000</v>
      </c>
      <c r="N277" s="29">
        <f t="shared" si="4"/>
        <v>500000</v>
      </c>
    </row>
    <row r="278" spans="1:14" x14ac:dyDescent="0.2">
      <c r="A278" s="2" t="s">
        <v>315</v>
      </c>
      <c r="B278" s="3">
        <v>45704</v>
      </c>
      <c r="C278" s="10" t="s">
        <v>15</v>
      </c>
      <c r="D278" s="10" t="s">
        <v>16</v>
      </c>
      <c r="E278" s="1" t="s">
        <v>36</v>
      </c>
      <c r="F278" s="1" t="s">
        <v>34</v>
      </c>
      <c r="G278">
        <v>225000</v>
      </c>
      <c r="H278" s="1">
        <v>2</v>
      </c>
      <c r="I278" s="1" t="s">
        <v>28</v>
      </c>
      <c r="J278" s="1" t="s">
        <v>29</v>
      </c>
      <c r="K278" s="15">
        <v>450000</v>
      </c>
      <c r="N278" s="29">
        <f t="shared" si="4"/>
        <v>450000</v>
      </c>
    </row>
    <row r="279" spans="1:14" x14ac:dyDescent="0.2">
      <c r="A279" s="2" t="s">
        <v>316</v>
      </c>
      <c r="B279" s="3">
        <v>45684</v>
      </c>
      <c r="C279" s="10" t="s">
        <v>19</v>
      </c>
      <c r="D279" s="10" t="s">
        <v>20</v>
      </c>
      <c r="E279" s="1" t="s">
        <v>36</v>
      </c>
      <c r="F279" s="1" t="s">
        <v>45</v>
      </c>
      <c r="G279">
        <v>250000</v>
      </c>
      <c r="H279" s="1">
        <v>2</v>
      </c>
      <c r="I279" s="1" t="s">
        <v>39</v>
      </c>
      <c r="J279" s="1" t="s">
        <v>29</v>
      </c>
      <c r="K279" s="15">
        <v>500000</v>
      </c>
      <c r="N279" s="29">
        <f t="shared" si="4"/>
        <v>500000</v>
      </c>
    </row>
    <row r="280" spans="1:14" x14ac:dyDescent="0.2">
      <c r="A280" s="2" t="s">
        <v>317</v>
      </c>
      <c r="B280" s="3">
        <v>45725</v>
      </c>
      <c r="C280" s="10" t="s">
        <v>17</v>
      </c>
      <c r="D280" s="10" t="s">
        <v>18</v>
      </c>
      <c r="E280" s="1" t="s">
        <v>47</v>
      </c>
      <c r="F280" s="1" t="s">
        <v>45</v>
      </c>
      <c r="G280">
        <v>300000</v>
      </c>
      <c r="H280" s="1">
        <v>1</v>
      </c>
      <c r="I280" s="1" t="s">
        <v>39</v>
      </c>
      <c r="J280" s="1" t="s">
        <v>29</v>
      </c>
      <c r="K280" s="15">
        <v>300000</v>
      </c>
      <c r="N280" s="29">
        <f t="shared" si="4"/>
        <v>300000</v>
      </c>
    </row>
    <row r="281" spans="1:14" x14ac:dyDescent="0.2">
      <c r="A281" s="2" t="s">
        <v>318</v>
      </c>
      <c r="B281" s="3">
        <v>45763</v>
      </c>
      <c r="C281" s="10" t="s">
        <v>24</v>
      </c>
      <c r="D281" s="10" t="s">
        <v>16</v>
      </c>
      <c r="E281" s="1" t="s">
        <v>36</v>
      </c>
      <c r="F281" s="1" t="s">
        <v>60</v>
      </c>
      <c r="G281">
        <v>240000</v>
      </c>
      <c r="H281" s="1">
        <v>2</v>
      </c>
      <c r="I281" s="1" t="s">
        <v>39</v>
      </c>
      <c r="J281" s="1" t="s">
        <v>29</v>
      </c>
      <c r="K281" s="15">
        <v>480000</v>
      </c>
      <c r="N281" s="29">
        <f t="shared" si="4"/>
        <v>480000</v>
      </c>
    </row>
    <row r="282" spans="1:14" x14ac:dyDescent="0.2">
      <c r="A282" s="2" t="s">
        <v>319</v>
      </c>
      <c r="B282" s="3">
        <v>45767</v>
      </c>
      <c r="C282" s="10" t="s">
        <v>17</v>
      </c>
      <c r="D282" s="10" t="s">
        <v>18</v>
      </c>
      <c r="E282" s="1" t="s">
        <v>31</v>
      </c>
      <c r="F282" s="1" t="s">
        <v>45</v>
      </c>
      <c r="G282">
        <v>300000</v>
      </c>
      <c r="H282" s="1">
        <v>3</v>
      </c>
      <c r="I282" s="1" t="s">
        <v>39</v>
      </c>
      <c r="J282" s="1" t="s">
        <v>29</v>
      </c>
      <c r="K282" s="15">
        <v>900000</v>
      </c>
      <c r="N282" s="29">
        <f t="shared" si="4"/>
        <v>900000</v>
      </c>
    </row>
    <row r="283" spans="1:14" x14ac:dyDescent="0.2">
      <c r="A283" s="2" t="s">
        <v>320</v>
      </c>
      <c r="B283" s="3">
        <v>45769</v>
      </c>
      <c r="C283" s="10" t="s">
        <v>19</v>
      </c>
      <c r="D283" s="10" t="s">
        <v>20</v>
      </c>
      <c r="E283" s="1" t="s">
        <v>31</v>
      </c>
      <c r="F283" s="1" t="s">
        <v>32</v>
      </c>
      <c r="G283">
        <v>250000</v>
      </c>
      <c r="H283" s="1">
        <v>2</v>
      </c>
      <c r="I283" s="1" t="s">
        <v>28</v>
      </c>
      <c r="J283" s="1" t="s">
        <v>37</v>
      </c>
      <c r="K283" s="15">
        <v>500000</v>
      </c>
      <c r="N283" s="29">
        <f t="shared" si="4"/>
        <v>500000</v>
      </c>
    </row>
    <row r="284" spans="1:14" x14ac:dyDescent="0.2">
      <c r="A284" s="2" t="s">
        <v>321</v>
      </c>
      <c r="B284" s="3">
        <v>45767</v>
      </c>
      <c r="C284" s="10" t="s">
        <v>17</v>
      </c>
      <c r="D284" s="10" t="s">
        <v>18</v>
      </c>
      <c r="E284" s="1" t="s">
        <v>26</v>
      </c>
      <c r="F284" s="1" t="s">
        <v>41</v>
      </c>
      <c r="G284">
        <v>300000</v>
      </c>
      <c r="H284" s="1">
        <v>3</v>
      </c>
      <c r="I284" s="1" t="s">
        <v>28</v>
      </c>
      <c r="J284" s="1" t="s">
        <v>29</v>
      </c>
      <c r="K284" s="15">
        <v>900000</v>
      </c>
      <c r="N284" s="29">
        <f t="shared" si="4"/>
        <v>900000</v>
      </c>
    </row>
    <row r="285" spans="1:14" x14ac:dyDescent="0.2">
      <c r="A285" s="2" t="s">
        <v>322</v>
      </c>
      <c r="B285" s="3">
        <v>45672</v>
      </c>
      <c r="C285" s="10" t="s">
        <v>15</v>
      </c>
      <c r="D285" s="10" t="s">
        <v>16</v>
      </c>
      <c r="E285" s="1" t="s">
        <v>36</v>
      </c>
      <c r="F285" s="1" t="s">
        <v>34</v>
      </c>
      <c r="G285">
        <v>225000</v>
      </c>
      <c r="H285" s="1">
        <v>3</v>
      </c>
      <c r="I285" s="1" t="s">
        <v>28</v>
      </c>
      <c r="J285" s="1" t="s">
        <v>29</v>
      </c>
      <c r="K285" s="15">
        <v>675000</v>
      </c>
      <c r="N285" s="29">
        <f t="shared" si="4"/>
        <v>675000</v>
      </c>
    </row>
    <row r="286" spans="1:14" x14ac:dyDescent="0.2">
      <c r="A286" s="2" t="s">
        <v>323</v>
      </c>
      <c r="B286" s="3">
        <v>45690</v>
      </c>
      <c r="C286" s="10" t="s">
        <v>21</v>
      </c>
      <c r="D286" s="10" t="s">
        <v>22</v>
      </c>
      <c r="E286" s="1" t="s">
        <v>26</v>
      </c>
      <c r="F286" s="1" t="s">
        <v>32</v>
      </c>
      <c r="G286">
        <v>75000</v>
      </c>
      <c r="H286" s="1">
        <v>3</v>
      </c>
      <c r="I286" s="1" t="s">
        <v>28</v>
      </c>
      <c r="J286" s="1" t="s">
        <v>37</v>
      </c>
      <c r="K286" s="15">
        <v>225000</v>
      </c>
      <c r="N286" s="29">
        <f t="shared" si="4"/>
        <v>225000</v>
      </c>
    </row>
    <row r="287" spans="1:14" x14ac:dyDescent="0.2">
      <c r="A287" s="2" t="s">
        <v>324</v>
      </c>
      <c r="B287" s="3">
        <v>45763</v>
      </c>
      <c r="C287" s="10" t="s">
        <v>21</v>
      </c>
      <c r="D287" s="10" t="s">
        <v>22</v>
      </c>
      <c r="E287" s="1" t="s">
        <v>47</v>
      </c>
      <c r="F287" s="1" t="s">
        <v>45</v>
      </c>
      <c r="G287">
        <v>75000</v>
      </c>
      <c r="H287" s="1">
        <v>3</v>
      </c>
      <c r="I287" s="1" t="s">
        <v>39</v>
      </c>
      <c r="J287" s="1" t="s">
        <v>37</v>
      </c>
      <c r="K287" s="15">
        <v>225000</v>
      </c>
      <c r="N287" s="29">
        <f t="shared" si="4"/>
        <v>225000</v>
      </c>
    </row>
    <row r="288" spans="1:14" x14ac:dyDescent="0.2">
      <c r="A288" s="2" t="s">
        <v>325</v>
      </c>
      <c r="B288" s="3">
        <v>45800</v>
      </c>
      <c r="C288" s="10" t="s">
        <v>11</v>
      </c>
      <c r="D288" s="10" t="s">
        <v>12</v>
      </c>
      <c r="E288" s="1" t="s">
        <v>36</v>
      </c>
      <c r="F288" s="1" t="s">
        <v>34</v>
      </c>
      <c r="G288">
        <v>350000</v>
      </c>
      <c r="H288" s="1">
        <v>1</v>
      </c>
      <c r="I288" s="1" t="s">
        <v>39</v>
      </c>
      <c r="J288" s="1" t="s">
        <v>37</v>
      </c>
      <c r="K288" s="15">
        <v>350000</v>
      </c>
      <c r="N288" s="29">
        <f t="shared" si="4"/>
        <v>350000</v>
      </c>
    </row>
    <row r="289" spans="1:14" x14ac:dyDescent="0.2">
      <c r="A289" s="2" t="s">
        <v>326</v>
      </c>
      <c r="B289" s="3">
        <v>45708</v>
      </c>
      <c r="C289" s="10" t="s">
        <v>11</v>
      </c>
      <c r="D289" s="10" t="s">
        <v>12</v>
      </c>
      <c r="E289" s="1" t="s">
        <v>36</v>
      </c>
      <c r="F289" s="1" t="s">
        <v>60</v>
      </c>
      <c r="G289">
        <v>350000</v>
      </c>
      <c r="H289" s="1">
        <v>3</v>
      </c>
      <c r="I289" s="1" t="s">
        <v>28</v>
      </c>
      <c r="J289" s="1" t="s">
        <v>37</v>
      </c>
      <c r="K289" s="15">
        <v>1050000</v>
      </c>
      <c r="N289" s="29">
        <f t="shared" si="4"/>
        <v>1050000</v>
      </c>
    </row>
    <row r="290" spans="1:14" x14ac:dyDescent="0.2">
      <c r="A290" s="2" t="s">
        <v>327</v>
      </c>
      <c r="B290" s="3">
        <v>45759</v>
      </c>
      <c r="C290" s="10" t="s">
        <v>13</v>
      </c>
      <c r="D290" s="10" t="s">
        <v>14</v>
      </c>
      <c r="E290" s="1" t="s">
        <v>36</v>
      </c>
      <c r="F290" s="1" t="s">
        <v>32</v>
      </c>
      <c r="G290">
        <v>275000</v>
      </c>
      <c r="H290" s="1">
        <v>1</v>
      </c>
      <c r="I290" s="1" t="s">
        <v>28</v>
      </c>
      <c r="J290" s="1" t="s">
        <v>37</v>
      </c>
      <c r="K290" s="15">
        <v>275000</v>
      </c>
      <c r="N290" s="29">
        <f t="shared" si="4"/>
        <v>275000</v>
      </c>
    </row>
    <row r="291" spans="1:14" x14ac:dyDescent="0.2">
      <c r="A291" s="2" t="s">
        <v>328</v>
      </c>
      <c r="B291" s="3">
        <v>45670</v>
      </c>
      <c r="C291" s="10" t="s">
        <v>23</v>
      </c>
      <c r="D291" s="10" t="s">
        <v>12</v>
      </c>
      <c r="E291" s="1" t="s">
        <v>31</v>
      </c>
      <c r="F291" s="1" t="s">
        <v>60</v>
      </c>
      <c r="G291">
        <v>375000</v>
      </c>
      <c r="H291" s="1">
        <v>2</v>
      </c>
      <c r="I291" s="1" t="s">
        <v>28</v>
      </c>
      <c r="J291" s="1" t="s">
        <v>29</v>
      </c>
      <c r="K291" s="15">
        <v>750000</v>
      </c>
      <c r="N291" s="29">
        <f t="shared" si="4"/>
        <v>750000</v>
      </c>
    </row>
    <row r="292" spans="1:14" x14ac:dyDescent="0.2">
      <c r="A292" s="2" t="s">
        <v>329</v>
      </c>
      <c r="B292" s="3">
        <v>45788</v>
      </c>
      <c r="C292" s="10" t="s">
        <v>15</v>
      </c>
      <c r="D292" s="10" t="s">
        <v>16</v>
      </c>
      <c r="E292" s="1" t="s">
        <v>47</v>
      </c>
      <c r="F292" s="1" t="s">
        <v>41</v>
      </c>
      <c r="G292">
        <v>225000</v>
      </c>
      <c r="H292" s="1">
        <v>1</v>
      </c>
      <c r="I292" s="1" t="s">
        <v>28</v>
      </c>
      <c r="J292" s="1" t="s">
        <v>29</v>
      </c>
      <c r="K292" s="15">
        <v>225000</v>
      </c>
      <c r="N292" s="29">
        <f t="shared" si="4"/>
        <v>225000</v>
      </c>
    </row>
    <row r="293" spans="1:14" x14ac:dyDescent="0.2">
      <c r="A293" s="2" t="s">
        <v>330</v>
      </c>
      <c r="B293" s="3">
        <v>45720</v>
      </c>
      <c r="C293" s="10" t="s">
        <v>24</v>
      </c>
      <c r="D293" s="10" t="s">
        <v>16</v>
      </c>
      <c r="E293" s="1" t="s">
        <v>36</v>
      </c>
      <c r="F293" s="1" t="s">
        <v>41</v>
      </c>
      <c r="G293">
        <v>240000</v>
      </c>
      <c r="H293" s="1">
        <v>3</v>
      </c>
      <c r="I293" s="1" t="s">
        <v>28</v>
      </c>
      <c r="J293" s="1" t="s">
        <v>37</v>
      </c>
      <c r="K293" s="15">
        <v>720000</v>
      </c>
      <c r="N293" s="29">
        <f t="shared" si="4"/>
        <v>720000</v>
      </c>
    </row>
    <row r="294" spans="1:14" x14ac:dyDescent="0.2">
      <c r="A294" s="2" t="s">
        <v>331</v>
      </c>
      <c r="B294" s="3">
        <v>45759</v>
      </c>
      <c r="C294" s="10" t="s">
        <v>23</v>
      </c>
      <c r="D294" s="10" t="s">
        <v>12</v>
      </c>
      <c r="E294" s="1" t="s">
        <v>26</v>
      </c>
      <c r="F294" s="1" t="s">
        <v>32</v>
      </c>
      <c r="G294">
        <v>375000</v>
      </c>
      <c r="H294" s="1">
        <v>1</v>
      </c>
      <c r="I294" s="1" t="s">
        <v>28</v>
      </c>
      <c r="J294" s="1" t="s">
        <v>29</v>
      </c>
      <c r="K294" s="15">
        <v>375000</v>
      </c>
      <c r="N294" s="29">
        <f t="shared" si="4"/>
        <v>375000</v>
      </c>
    </row>
    <row r="295" spans="1:14" x14ac:dyDescent="0.2">
      <c r="A295" s="2" t="s">
        <v>332</v>
      </c>
      <c r="B295" s="3">
        <v>45696</v>
      </c>
      <c r="C295" s="10" t="s">
        <v>11</v>
      </c>
      <c r="D295" s="10" t="s">
        <v>12</v>
      </c>
      <c r="E295" s="1" t="s">
        <v>26</v>
      </c>
      <c r="F295" s="1" t="s">
        <v>45</v>
      </c>
      <c r="G295">
        <v>350000</v>
      </c>
      <c r="H295" s="1">
        <v>2</v>
      </c>
      <c r="I295" s="1" t="s">
        <v>28</v>
      </c>
      <c r="J295" s="1" t="s">
        <v>37</v>
      </c>
      <c r="K295" s="15">
        <v>700000</v>
      </c>
      <c r="N295" s="29">
        <f t="shared" si="4"/>
        <v>700000</v>
      </c>
    </row>
    <row r="296" spans="1:14" x14ac:dyDescent="0.2">
      <c r="A296" s="2" t="s">
        <v>333</v>
      </c>
      <c r="B296" s="3">
        <v>45787</v>
      </c>
      <c r="C296" s="10" t="s">
        <v>24</v>
      </c>
      <c r="D296" s="10" t="s">
        <v>16</v>
      </c>
      <c r="E296" s="1" t="s">
        <v>31</v>
      </c>
      <c r="F296" s="1" t="s">
        <v>45</v>
      </c>
      <c r="G296">
        <v>240000</v>
      </c>
      <c r="H296" s="1">
        <v>3</v>
      </c>
      <c r="I296" s="1" t="s">
        <v>28</v>
      </c>
      <c r="J296" s="1" t="s">
        <v>29</v>
      </c>
      <c r="K296" s="15">
        <v>720000</v>
      </c>
      <c r="N296" s="29">
        <f t="shared" si="4"/>
        <v>720000</v>
      </c>
    </row>
    <row r="297" spans="1:14" x14ac:dyDescent="0.2">
      <c r="A297" s="2" t="s">
        <v>334</v>
      </c>
      <c r="B297" s="3">
        <v>45743</v>
      </c>
      <c r="C297" s="10" t="s">
        <v>15</v>
      </c>
      <c r="D297" s="10" t="s">
        <v>16</v>
      </c>
      <c r="E297" s="1" t="s">
        <v>47</v>
      </c>
      <c r="F297" s="1" t="s">
        <v>45</v>
      </c>
      <c r="G297">
        <v>225000</v>
      </c>
      <c r="H297" s="1">
        <v>1</v>
      </c>
      <c r="I297" s="1" t="s">
        <v>28</v>
      </c>
      <c r="J297" s="1" t="s">
        <v>29</v>
      </c>
      <c r="K297" s="15">
        <v>225000</v>
      </c>
      <c r="N297" s="29">
        <f t="shared" si="4"/>
        <v>225000</v>
      </c>
    </row>
    <row r="298" spans="1:14" x14ac:dyDescent="0.2">
      <c r="A298" s="2" t="s">
        <v>335</v>
      </c>
      <c r="B298" s="3">
        <v>45769</v>
      </c>
      <c r="C298" s="10" t="s">
        <v>24</v>
      </c>
      <c r="D298" s="10" t="s">
        <v>16</v>
      </c>
      <c r="E298" s="1" t="s">
        <v>26</v>
      </c>
      <c r="F298" s="1" t="s">
        <v>27</v>
      </c>
      <c r="G298">
        <v>240000</v>
      </c>
      <c r="H298" s="1">
        <v>1</v>
      </c>
      <c r="I298" s="1" t="s">
        <v>28</v>
      </c>
      <c r="J298" s="1" t="s">
        <v>37</v>
      </c>
      <c r="K298" s="15">
        <v>240000</v>
      </c>
      <c r="N298" s="29">
        <f t="shared" si="4"/>
        <v>240000</v>
      </c>
    </row>
    <row r="299" spans="1:14" x14ac:dyDescent="0.2">
      <c r="A299" s="2" t="s">
        <v>336</v>
      </c>
      <c r="B299" s="3">
        <v>45779</v>
      </c>
      <c r="C299" s="10" t="s">
        <v>15</v>
      </c>
      <c r="D299" s="10" t="s">
        <v>16</v>
      </c>
      <c r="E299" s="1" t="s">
        <v>31</v>
      </c>
      <c r="F299" s="1" t="s">
        <v>32</v>
      </c>
      <c r="G299">
        <v>225000</v>
      </c>
      <c r="H299" s="1">
        <v>1</v>
      </c>
      <c r="I299" s="1" t="s">
        <v>39</v>
      </c>
      <c r="J299" s="1" t="s">
        <v>37</v>
      </c>
      <c r="K299" s="15">
        <v>225000</v>
      </c>
      <c r="N299" s="29">
        <f t="shared" si="4"/>
        <v>225000</v>
      </c>
    </row>
    <row r="300" spans="1:14" x14ac:dyDescent="0.2">
      <c r="A300" s="2" t="s">
        <v>337</v>
      </c>
      <c r="B300" s="3">
        <v>45815</v>
      </c>
      <c r="C300" s="10" t="s">
        <v>11</v>
      </c>
      <c r="D300" s="10" t="s">
        <v>12</v>
      </c>
      <c r="E300" s="1" t="s">
        <v>47</v>
      </c>
      <c r="F300" s="1" t="s">
        <v>60</v>
      </c>
      <c r="G300">
        <v>350000</v>
      </c>
      <c r="H300" s="1">
        <v>2</v>
      </c>
      <c r="I300" s="1" t="s">
        <v>39</v>
      </c>
      <c r="J300" s="1" t="s">
        <v>29</v>
      </c>
      <c r="K300" s="15">
        <v>700000</v>
      </c>
      <c r="N300" s="29">
        <f t="shared" si="4"/>
        <v>700000</v>
      </c>
    </row>
    <row r="301" spans="1:14" x14ac:dyDescent="0.2">
      <c r="A301" s="2" t="s">
        <v>338</v>
      </c>
      <c r="B301" s="3">
        <v>45665</v>
      </c>
      <c r="C301" s="10" t="s">
        <v>13</v>
      </c>
      <c r="D301" s="10" t="s">
        <v>14</v>
      </c>
      <c r="E301" s="1" t="s">
        <v>26</v>
      </c>
      <c r="F301" s="1" t="s">
        <v>27</v>
      </c>
      <c r="G301">
        <v>275000</v>
      </c>
      <c r="H301" s="1">
        <v>3</v>
      </c>
      <c r="I301" s="1" t="s">
        <v>28</v>
      </c>
      <c r="J301" s="1" t="s">
        <v>29</v>
      </c>
      <c r="K301" s="15">
        <v>825000</v>
      </c>
      <c r="N301" s="29">
        <f t="shared" si="4"/>
        <v>825000</v>
      </c>
    </row>
    <row r="302" spans="1:14" x14ac:dyDescent="0.2">
      <c r="A302" s="2" t="s">
        <v>339</v>
      </c>
      <c r="B302" s="3">
        <v>45762</v>
      </c>
      <c r="C302" s="10" t="s">
        <v>23</v>
      </c>
      <c r="D302" s="10" t="s">
        <v>12</v>
      </c>
      <c r="E302" s="1" t="s">
        <v>26</v>
      </c>
      <c r="F302" s="1" t="s">
        <v>60</v>
      </c>
      <c r="G302">
        <v>375000</v>
      </c>
      <c r="H302" s="1">
        <v>2</v>
      </c>
      <c r="I302" s="1" t="s">
        <v>39</v>
      </c>
      <c r="J302" s="1" t="s">
        <v>37</v>
      </c>
      <c r="K302" s="15">
        <v>750000</v>
      </c>
      <c r="N302" s="29">
        <f t="shared" si="4"/>
        <v>750000</v>
      </c>
    </row>
    <row r="303" spans="1:14" x14ac:dyDescent="0.2">
      <c r="A303" s="2" t="s">
        <v>340</v>
      </c>
      <c r="B303" s="3">
        <v>45803</v>
      </c>
      <c r="C303" s="10" t="s">
        <v>17</v>
      </c>
      <c r="D303" s="10" t="s">
        <v>18</v>
      </c>
      <c r="E303" s="1" t="s">
        <v>36</v>
      </c>
      <c r="F303" s="1" t="s">
        <v>34</v>
      </c>
      <c r="G303">
        <v>300000</v>
      </c>
      <c r="H303" s="1">
        <v>1</v>
      </c>
      <c r="I303" s="1" t="s">
        <v>28</v>
      </c>
      <c r="J303" s="1" t="s">
        <v>37</v>
      </c>
      <c r="K303" s="15">
        <v>300000</v>
      </c>
      <c r="N303" s="29">
        <f t="shared" si="4"/>
        <v>300000</v>
      </c>
    </row>
    <row r="304" spans="1:14" x14ac:dyDescent="0.2">
      <c r="A304" s="2" t="s">
        <v>341</v>
      </c>
      <c r="B304" s="3">
        <v>45707</v>
      </c>
      <c r="C304" s="10" t="s">
        <v>24</v>
      </c>
      <c r="D304" s="10" t="s">
        <v>16</v>
      </c>
      <c r="E304" s="1" t="s">
        <v>31</v>
      </c>
      <c r="F304" s="1" t="s">
        <v>45</v>
      </c>
      <c r="G304">
        <v>240000</v>
      </c>
      <c r="H304" s="1">
        <v>1</v>
      </c>
      <c r="I304" s="1" t="s">
        <v>39</v>
      </c>
      <c r="J304" s="1" t="s">
        <v>37</v>
      </c>
      <c r="K304" s="15">
        <v>240000</v>
      </c>
      <c r="N304" s="29">
        <f t="shared" si="4"/>
        <v>240000</v>
      </c>
    </row>
    <row r="305" spans="1:14" x14ac:dyDescent="0.2">
      <c r="A305" s="2" t="s">
        <v>342</v>
      </c>
      <c r="B305" s="3">
        <v>45817</v>
      </c>
      <c r="C305" s="10" t="s">
        <v>23</v>
      </c>
      <c r="D305" s="10" t="s">
        <v>12</v>
      </c>
      <c r="E305" s="1" t="s">
        <v>31</v>
      </c>
      <c r="F305" s="1" t="s">
        <v>32</v>
      </c>
      <c r="G305">
        <v>375000</v>
      </c>
      <c r="H305" s="1">
        <v>3</v>
      </c>
      <c r="I305" s="1" t="s">
        <v>28</v>
      </c>
      <c r="J305" s="1" t="s">
        <v>37</v>
      </c>
      <c r="K305" s="15">
        <v>1125000</v>
      </c>
      <c r="N305" s="29">
        <f t="shared" si="4"/>
        <v>1125000</v>
      </c>
    </row>
    <row r="306" spans="1:14" x14ac:dyDescent="0.2">
      <c r="A306" s="2" t="s">
        <v>343</v>
      </c>
      <c r="B306" s="3">
        <v>45684</v>
      </c>
      <c r="C306" s="10" t="s">
        <v>17</v>
      </c>
      <c r="D306" s="10" t="s">
        <v>18</v>
      </c>
      <c r="E306" s="1" t="s">
        <v>47</v>
      </c>
      <c r="F306" s="1" t="s">
        <v>60</v>
      </c>
      <c r="G306">
        <v>300000</v>
      </c>
      <c r="H306" s="1">
        <v>1</v>
      </c>
      <c r="I306" s="1" t="s">
        <v>39</v>
      </c>
      <c r="J306" s="1" t="s">
        <v>37</v>
      </c>
      <c r="K306" s="15">
        <v>300000</v>
      </c>
      <c r="N306" s="29">
        <f t="shared" si="4"/>
        <v>300000</v>
      </c>
    </row>
    <row r="307" spans="1:14" x14ac:dyDescent="0.2">
      <c r="A307" s="2" t="s">
        <v>344</v>
      </c>
      <c r="B307" s="3">
        <v>45830</v>
      </c>
      <c r="C307" s="10" t="s">
        <v>23</v>
      </c>
      <c r="D307" s="10" t="s">
        <v>12</v>
      </c>
      <c r="E307" s="1" t="s">
        <v>47</v>
      </c>
      <c r="F307" s="1" t="s">
        <v>32</v>
      </c>
      <c r="G307">
        <v>375000</v>
      </c>
      <c r="H307" s="1">
        <v>3</v>
      </c>
      <c r="I307" s="1" t="s">
        <v>39</v>
      </c>
      <c r="J307" s="1" t="s">
        <v>29</v>
      </c>
      <c r="K307" s="15">
        <v>1125000</v>
      </c>
      <c r="N307" s="29">
        <f t="shared" si="4"/>
        <v>1125000</v>
      </c>
    </row>
    <row r="308" spans="1:14" x14ac:dyDescent="0.2">
      <c r="A308" s="2" t="s">
        <v>345</v>
      </c>
      <c r="B308" s="3">
        <v>45792</v>
      </c>
      <c r="C308" s="10" t="s">
        <v>11</v>
      </c>
      <c r="D308" s="10" t="s">
        <v>12</v>
      </c>
      <c r="E308" s="1" t="s">
        <v>26</v>
      </c>
      <c r="F308" s="1" t="s">
        <v>32</v>
      </c>
      <c r="G308">
        <v>350000</v>
      </c>
      <c r="H308" s="1">
        <v>1</v>
      </c>
      <c r="I308" s="1" t="s">
        <v>39</v>
      </c>
      <c r="J308" s="1" t="s">
        <v>29</v>
      </c>
      <c r="K308" s="15">
        <v>350000</v>
      </c>
      <c r="N308" s="29">
        <f t="shared" si="4"/>
        <v>350000</v>
      </c>
    </row>
    <row r="309" spans="1:14" x14ac:dyDescent="0.2">
      <c r="A309" s="2" t="s">
        <v>346</v>
      </c>
      <c r="B309" s="3">
        <v>45835</v>
      </c>
      <c r="C309" s="10" t="s">
        <v>23</v>
      </c>
      <c r="D309" s="10" t="s">
        <v>12</v>
      </c>
      <c r="E309" s="1" t="s">
        <v>47</v>
      </c>
      <c r="F309" s="1" t="s">
        <v>34</v>
      </c>
      <c r="G309">
        <v>375000</v>
      </c>
      <c r="H309" s="1">
        <v>2</v>
      </c>
      <c r="I309" s="1" t="s">
        <v>28</v>
      </c>
      <c r="J309" s="1" t="s">
        <v>29</v>
      </c>
      <c r="K309" s="15">
        <v>750000</v>
      </c>
      <c r="N309" s="29">
        <f t="shared" si="4"/>
        <v>750000</v>
      </c>
    </row>
    <row r="310" spans="1:14" x14ac:dyDescent="0.2">
      <c r="A310" s="2" t="s">
        <v>347</v>
      </c>
      <c r="B310" s="3">
        <v>45722</v>
      </c>
      <c r="C310" s="10" t="s">
        <v>13</v>
      </c>
      <c r="D310" s="10" t="s">
        <v>14</v>
      </c>
      <c r="E310" s="1" t="s">
        <v>47</v>
      </c>
      <c r="F310" s="1" t="s">
        <v>60</v>
      </c>
      <c r="G310">
        <v>275000</v>
      </c>
      <c r="H310" s="1">
        <v>1</v>
      </c>
      <c r="I310" s="1" t="s">
        <v>39</v>
      </c>
      <c r="J310" s="1" t="s">
        <v>29</v>
      </c>
      <c r="K310" s="15">
        <v>275000</v>
      </c>
      <c r="N310" s="29">
        <f t="shared" si="4"/>
        <v>275000</v>
      </c>
    </row>
    <row r="311" spans="1:14" x14ac:dyDescent="0.2">
      <c r="A311" s="2" t="s">
        <v>348</v>
      </c>
      <c r="B311" s="3">
        <v>45816</v>
      </c>
      <c r="C311" s="10" t="s">
        <v>15</v>
      </c>
      <c r="D311" s="10" t="s">
        <v>16</v>
      </c>
      <c r="E311" s="1" t="s">
        <v>47</v>
      </c>
      <c r="F311" s="1" t="s">
        <v>34</v>
      </c>
      <c r="G311">
        <v>225000</v>
      </c>
      <c r="H311" s="1">
        <v>2</v>
      </c>
      <c r="I311" s="1" t="s">
        <v>28</v>
      </c>
      <c r="J311" s="1" t="s">
        <v>29</v>
      </c>
      <c r="K311" s="15">
        <v>450000</v>
      </c>
      <c r="N311" s="29">
        <f t="shared" si="4"/>
        <v>450000</v>
      </c>
    </row>
    <row r="312" spans="1:14" x14ac:dyDescent="0.2">
      <c r="A312" s="2" t="s">
        <v>349</v>
      </c>
      <c r="B312" s="3">
        <v>45805</v>
      </c>
      <c r="C312" s="10" t="s">
        <v>23</v>
      </c>
      <c r="D312" s="10" t="s">
        <v>12</v>
      </c>
      <c r="E312" s="1" t="s">
        <v>26</v>
      </c>
      <c r="F312" s="1" t="s">
        <v>60</v>
      </c>
      <c r="G312">
        <v>375000</v>
      </c>
      <c r="H312" s="1">
        <v>2</v>
      </c>
      <c r="I312" s="1" t="s">
        <v>39</v>
      </c>
      <c r="J312" s="1" t="s">
        <v>37</v>
      </c>
      <c r="K312" s="15">
        <v>750000</v>
      </c>
      <c r="N312" s="29">
        <f t="shared" si="4"/>
        <v>750000</v>
      </c>
    </row>
    <row r="313" spans="1:14" x14ac:dyDescent="0.2">
      <c r="A313" s="2" t="s">
        <v>350</v>
      </c>
      <c r="B313" s="3">
        <v>45765</v>
      </c>
      <c r="C313" s="10" t="s">
        <v>21</v>
      </c>
      <c r="D313" s="10" t="s">
        <v>22</v>
      </c>
      <c r="E313" s="1" t="s">
        <v>26</v>
      </c>
      <c r="F313" s="1" t="s">
        <v>27</v>
      </c>
      <c r="G313">
        <v>75000</v>
      </c>
      <c r="H313" s="1">
        <v>2</v>
      </c>
      <c r="I313" s="1" t="s">
        <v>28</v>
      </c>
      <c r="J313" s="1" t="s">
        <v>37</v>
      </c>
      <c r="K313" s="15">
        <v>150000</v>
      </c>
      <c r="N313" s="29">
        <f t="shared" si="4"/>
        <v>150000</v>
      </c>
    </row>
    <row r="314" spans="1:14" x14ac:dyDescent="0.2">
      <c r="A314" s="2" t="s">
        <v>351</v>
      </c>
      <c r="B314" s="3">
        <v>45777</v>
      </c>
      <c r="C314" s="10" t="s">
        <v>15</v>
      </c>
      <c r="D314" s="10" t="s">
        <v>16</v>
      </c>
      <c r="E314" s="1" t="s">
        <v>31</v>
      </c>
      <c r="F314" s="1" t="s">
        <v>34</v>
      </c>
      <c r="G314">
        <v>225000</v>
      </c>
      <c r="H314" s="1">
        <v>3</v>
      </c>
      <c r="I314" s="1" t="s">
        <v>28</v>
      </c>
      <c r="J314" s="1" t="s">
        <v>37</v>
      </c>
      <c r="K314" s="15">
        <v>675000</v>
      </c>
      <c r="N314" s="29">
        <f t="shared" si="4"/>
        <v>675000</v>
      </c>
    </row>
    <row r="315" spans="1:14" x14ac:dyDescent="0.2">
      <c r="A315" s="2" t="s">
        <v>352</v>
      </c>
      <c r="B315" s="3">
        <v>45787</v>
      </c>
      <c r="C315" s="10" t="s">
        <v>13</v>
      </c>
      <c r="D315" s="10" t="s">
        <v>14</v>
      </c>
      <c r="E315" s="1" t="s">
        <v>31</v>
      </c>
      <c r="F315" s="1" t="s">
        <v>41</v>
      </c>
      <c r="G315">
        <v>275000</v>
      </c>
      <c r="H315" s="1">
        <v>1</v>
      </c>
      <c r="I315" s="1" t="s">
        <v>28</v>
      </c>
      <c r="J315" s="1" t="s">
        <v>37</v>
      </c>
      <c r="K315" s="15">
        <v>275000</v>
      </c>
      <c r="N315" s="29">
        <f t="shared" si="4"/>
        <v>275000</v>
      </c>
    </row>
    <row r="316" spans="1:14" x14ac:dyDescent="0.2">
      <c r="A316" s="2" t="s">
        <v>353</v>
      </c>
      <c r="B316" s="3">
        <v>45747</v>
      </c>
      <c r="C316" s="10" t="s">
        <v>17</v>
      </c>
      <c r="D316" s="10" t="s">
        <v>18</v>
      </c>
      <c r="E316" s="1" t="s">
        <v>47</v>
      </c>
      <c r="F316" s="1" t="s">
        <v>60</v>
      </c>
      <c r="G316">
        <v>300000</v>
      </c>
      <c r="H316" s="1">
        <v>1</v>
      </c>
      <c r="I316" s="1" t="s">
        <v>39</v>
      </c>
      <c r="J316" s="1" t="s">
        <v>29</v>
      </c>
      <c r="K316" s="15">
        <v>300000</v>
      </c>
      <c r="N316" s="29">
        <f t="shared" si="4"/>
        <v>300000</v>
      </c>
    </row>
    <row r="317" spans="1:14" x14ac:dyDescent="0.2">
      <c r="A317" s="2" t="s">
        <v>354</v>
      </c>
      <c r="B317" s="3">
        <v>45708</v>
      </c>
      <c r="C317" s="10" t="s">
        <v>23</v>
      </c>
      <c r="D317" s="10" t="s">
        <v>12</v>
      </c>
      <c r="E317" s="1" t="s">
        <v>47</v>
      </c>
      <c r="F317" s="1" t="s">
        <v>34</v>
      </c>
      <c r="G317">
        <v>375000</v>
      </c>
      <c r="H317" s="1">
        <v>3</v>
      </c>
      <c r="I317" s="1" t="s">
        <v>39</v>
      </c>
      <c r="J317" s="1" t="s">
        <v>29</v>
      </c>
      <c r="K317" s="15">
        <v>1125000</v>
      </c>
      <c r="N317" s="29">
        <f t="shared" si="4"/>
        <v>1125000</v>
      </c>
    </row>
    <row r="318" spans="1:14" x14ac:dyDescent="0.2">
      <c r="A318" s="2" t="s">
        <v>355</v>
      </c>
      <c r="B318" s="3">
        <v>45808</v>
      </c>
      <c r="C318" s="10" t="s">
        <v>19</v>
      </c>
      <c r="D318" s="10" t="s">
        <v>20</v>
      </c>
      <c r="E318" s="1" t="s">
        <v>31</v>
      </c>
      <c r="F318" s="1" t="s">
        <v>45</v>
      </c>
      <c r="G318">
        <v>250000</v>
      </c>
      <c r="H318" s="1">
        <v>1</v>
      </c>
      <c r="I318" s="1" t="s">
        <v>28</v>
      </c>
      <c r="J318" s="1" t="s">
        <v>29</v>
      </c>
      <c r="K318" s="15">
        <v>250000</v>
      </c>
      <c r="N318" s="29">
        <f t="shared" si="4"/>
        <v>250000</v>
      </c>
    </row>
    <row r="319" spans="1:14" x14ac:dyDescent="0.2">
      <c r="A319" s="2" t="s">
        <v>356</v>
      </c>
      <c r="B319" s="3">
        <v>45697</v>
      </c>
      <c r="C319" s="10" t="s">
        <v>17</v>
      </c>
      <c r="D319" s="10" t="s">
        <v>18</v>
      </c>
      <c r="E319" s="1" t="s">
        <v>36</v>
      </c>
      <c r="F319" s="1" t="s">
        <v>32</v>
      </c>
      <c r="G319">
        <v>300000</v>
      </c>
      <c r="H319" s="1">
        <v>2</v>
      </c>
      <c r="I319" s="1" t="s">
        <v>39</v>
      </c>
      <c r="J319" s="1" t="s">
        <v>29</v>
      </c>
      <c r="K319" s="15">
        <v>600000</v>
      </c>
      <c r="N319" s="29">
        <f t="shared" si="4"/>
        <v>600000</v>
      </c>
    </row>
    <row r="320" spans="1:14" x14ac:dyDescent="0.2">
      <c r="A320" s="2" t="s">
        <v>357</v>
      </c>
      <c r="B320" s="3">
        <v>45736</v>
      </c>
      <c r="C320" s="10" t="s">
        <v>19</v>
      </c>
      <c r="D320" s="10" t="s">
        <v>20</v>
      </c>
      <c r="E320" s="1" t="s">
        <v>47</v>
      </c>
      <c r="F320" s="1" t="s">
        <v>60</v>
      </c>
      <c r="G320">
        <v>250000</v>
      </c>
      <c r="H320" s="1">
        <v>1</v>
      </c>
      <c r="I320" s="1" t="s">
        <v>39</v>
      </c>
      <c r="J320" s="1" t="s">
        <v>29</v>
      </c>
      <c r="K320" s="15">
        <v>250000</v>
      </c>
      <c r="N320" s="29">
        <f t="shared" si="4"/>
        <v>250000</v>
      </c>
    </row>
    <row r="321" spans="1:14" x14ac:dyDescent="0.2">
      <c r="A321" s="2" t="s">
        <v>358</v>
      </c>
      <c r="B321" s="3">
        <v>45797</v>
      </c>
      <c r="C321" s="10" t="s">
        <v>11</v>
      </c>
      <c r="D321" s="10" t="s">
        <v>12</v>
      </c>
      <c r="E321" s="1" t="s">
        <v>26</v>
      </c>
      <c r="F321" s="1" t="s">
        <v>27</v>
      </c>
      <c r="G321">
        <v>350000</v>
      </c>
      <c r="H321" s="1">
        <v>2</v>
      </c>
      <c r="I321" s="1" t="s">
        <v>39</v>
      </c>
      <c r="J321" s="1" t="s">
        <v>37</v>
      </c>
      <c r="K321" s="15">
        <v>700000</v>
      </c>
      <c r="N321" s="29">
        <f t="shared" si="4"/>
        <v>700000</v>
      </c>
    </row>
    <row r="322" spans="1:14" x14ac:dyDescent="0.2">
      <c r="A322" s="2" t="s">
        <v>359</v>
      </c>
      <c r="B322" s="3">
        <v>45736</v>
      </c>
      <c r="C322" s="10" t="s">
        <v>21</v>
      </c>
      <c r="D322" s="10" t="s">
        <v>22</v>
      </c>
      <c r="E322" s="1" t="s">
        <v>31</v>
      </c>
      <c r="F322" s="1" t="s">
        <v>60</v>
      </c>
      <c r="G322">
        <v>75000</v>
      </c>
      <c r="H322" s="1">
        <v>3</v>
      </c>
      <c r="I322" s="1" t="s">
        <v>39</v>
      </c>
      <c r="J322" s="1" t="s">
        <v>37</v>
      </c>
      <c r="K322" s="15">
        <v>225000</v>
      </c>
      <c r="N322" s="29">
        <f t="shared" si="4"/>
        <v>225000</v>
      </c>
    </row>
    <row r="323" spans="1:14" x14ac:dyDescent="0.2">
      <c r="A323" s="2" t="s">
        <v>360</v>
      </c>
      <c r="B323" s="3">
        <v>45818</v>
      </c>
      <c r="C323" s="10" t="s">
        <v>21</v>
      </c>
      <c r="D323" s="10" t="s">
        <v>22</v>
      </c>
      <c r="E323" s="1" t="s">
        <v>26</v>
      </c>
      <c r="F323" s="1" t="s">
        <v>32</v>
      </c>
      <c r="G323">
        <v>75000</v>
      </c>
      <c r="H323" s="1">
        <v>2</v>
      </c>
      <c r="I323" s="1" t="s">
        <v>28</v>
      </c>
      <c r="J323" s="1" t="s">
        <v>29</v>
      </c>
      <c r="K323" s="15">
        <v>150000</v>
      </c>
      <c r="N323" s="29">
        <f t="shared" ref="N323:N386" si="5">G323*H323</f>
        <v>150000</v>
      </c>
    </row>
    <row r="324" spans="1:14" x14ac:dyDescent="0.2">
      <c r="A324" s="2" t="s">
        <v>361</v>
      </c>
      <c r="B324" s="3">
        <v>45703</v>
      </c>
      <c r="C324" s="10" t="s">
        <v>21</v>
      </c>
      <c r="D324" s="10" t="s">
        <v>22</v>
      </c>
      <c r="E324" s="1" t="s">
        <v>47</v>
      </c>
      <c r="F324" s="1" t="s">
        <v>27</v>
      </c>
      <c r="G324">
        <v>75000</v>
      </c>
      <c r="H324" s="1">
        <v>3</v>
      </c>
      <c r="I324" s="1" t="s">
        <v>28</v>
      </c>
      <c r="J324" s="1" t="s">
        <v>37</v>
      </c>
      <c r="K324" s="15">
        <v>225000</v>
      </c>
      <c r="N324" s="29">
        <f t="shared" si="5"/>
        <v>225000</v>
      </c>
    </row>
    <row r="325" spans="1:14" x14ac:dyDescent="0.2">
      <c r="A325" s="2" t="s">
        <v>362</v>
      </c>
      <c r="B325" s="3">
        <v>45658</v>
      </c>
      <c r="C325" s="10" t="s">
        <v>21</v>
      </c>
      <c r="D325" s="10" t="s">
        <v>22</v>
      </c>
      <c r="E325" s="1" t="s">
        <v>47</v>
      </c>
      <c r="F325" s="1" t="s">
        <v>41</v>
      </c>
      <c r="G325">
        <v>75000</v>
      </c>
      <c r="H325" s="1">
        <v>2</v>
      </c>
      <c r="I325" s="1" t="s">
        <v>28</v>
      </c>
      <c r="J325" s="1" t="s">
        <v>29</v>
      </c>
      <c r="K325" s="15">
        <v>150000</v>
      </c>
      <c r="N325" s="29">
        <f t="shared" si="5"/>
        <v>150000</v>
      </c>
    </row>
    <row r="326" spans="1:14" x14ac:dyDescent="0.2">
      <c r="A326" s="2" t="s">
        <v>363</v>
      </c>
      <c r="B326" s="3">
        <v>45789</v>
      </c>
      <c r="C326" s="10" t="s">
        <v>19</v>
      </c>
      <c r="D326" s="10" t="s">
        <v>20</v>
      </c>
      <c r="E326" s="1" t="s">
        <v>47</v>
      </c>
      <c r="F326" s="1" t="s">
        <v>32</v>
      </c>
      <c r="G326">
        <v>250000</v>
      </c>
      <c r="H326" s="1">
        <v>3</v>
      </c>
      <c r="I326" s="1" t="s">
        <v>39</v>
      </c>
      <c r="J326" s="1" t="s">
        <v>29</v>
      </c>
      <c r="K326" s="15">
        <v>750000</v>
      </c>
      <c r="N326" s="29">
        <f t="shared" si="5"/>
        <v>750000</v>
      </c>
    </row>
    <row r="327" spans="1:14" x14ac:dyDescent="0.2">
      <c r="A327" s="2" t="s">
        <v>364</v>
      </c>
      <c r="B327" s="3">
        <v>45755</v>
      </c>
      <c r="C327" s="10" t="s">
        <v>17</v>
      </c>
      <c r="D327" s="10" t="s">
        <v>18</v>
      </c>
      <c r="E327" s="1" t="s">
        <v>47</v>
      </c>
      <c r="F327" s="1" t="s">
        <v>32</v>
      </c>
      <c r="G327">
        <v>300000</v>
      </c>
      <c r="H327" s="1">
        <v>2</v>
      </c>
      <c r="I327" s="1" t="s">
        <v>28</v>
      </c>
      <c r="J327" s="1" t="s">
        <v>29</v>
      </c>
      <c r="K327" s="15">
        <v>600000</v>
      </c>
      <c r="N327" s="29">
        <f t="shared" si="5"/>
        <v>600000</v>
      </c>
    </row>
    <row r="328" spans="1:14" x14ac:dyDescent="0.2">
      <c r="A328" s="2" t="s">
        <v>365</v>
      </c>
      <c r="B328" s="3">
        <v>45772</v>
      </c>
      <c r="C328" s="10" t="s">
        <v>21</v>
      </c>
      <c r="D328" s="10" t="s">
        <v>22</v>
      </c>
      <c r="E328" s="1" t="s">
        <v>36</v>
      </c>
      <c r="F328" s="1" t="s">
        <v>45</v>
      </c>
      <c r="G328">
        <v>75000</v>
      </c>
      <c r="H328" s="1">
        <v>1</v>
      </c>
      <c r="I328" s="1" t="s">
        <v>28</v>
      </c>
      <c r="J328" s="1" t="s">
        <v>37</v>
      </c>
      <c r="K328" s="15">
        <v>75000</v>
      </c>
      <c r="N328" s="29">
        <f t="shared" si="5"/>
        <v>75000</v>
      </c>
    </row>
    <row r="329" spans="1:14" x14ac:dyDescent="0.2">
      <c r="A329" s="2" t="s">
        <v>366</v>
      </c>
      <c r="B329" s="3">
        <v>45784</v>
      </c>
      <c r="C329" s="10" t="s">
        <v>11</v>
      </c>
      <c r="D329" s="10" t="s">
        <v>12</v>
      </c>
      <c r="E329" s="1" t="s">
        <v>26</v>
      </c>
      <c r="F329" s="1" t="s">
        <v>34</v>
      </c>
      <c r="G329">
        <v>350000</v>
      </c>
      <c r="H329" s="1">
        <v>1</v>
      </c>
      <c r="I329" s="1" t="s">
        <v>28</v>
      </c>
      <c r="J329" s="1" t="s">
        <v>29</v>
      </c>
      <c r="K329" s="15">
        <v>350000</v>
      </c>
      <c r="N329" s="29">
        <f t="shared" si="5"/>
        <v>350000</v>
      </c>
    </row>
    <row r="330" spans="1:14" x14ac:dyDescent="0.2">
      <c r="A330" s="2" t="s">
        <v>367</v>
      </c>
      <c r="B330" s="3">
        <v>45661</v>
      </c>
      <c r="C330" s="10" t="s">
        <v>21</v>
      </c>
      <c r="D330" s="10" t="s">
        <v>22</v>
      </c>
      <c r="E330" s="1" t="s">
        <v>26</v>
      </c>
      <c r="F330" s="1" t="s">
        <v>45</v>
      </c>
      <c r="G330">
        <v>75000</v>
      </c>
      <c r="H330" s="1">
        <v>1</v>
      </c>
      <c r="I330" s="1" t="s">
        <v>28</v>
      </c>
      <c r="J330" s="1" t="s">
        <v>29</v>
      </c>
      <c r="K330" s="15">
        <v>75000</v>
      </c>
      <c r="N330" s="29">
        <f t="shared" si="5"/>
        <v>75000</v>
      </c>
    </row>
    <row r="331" spans="1:14" x14ac:dyDescent="0.2">
      <c r="A331" s="2" t="s">
        <v>368</v>
      </c>
      <c r="B331" s="3">
        <v>45832</v>
      </c>
      <c r="C331" s="10" t="s">
        <v>19</v>
      </c>
      <c r="D331" s="10" t="s">
        <v>20</v>
      </c>
      <c r="E331" s="1" t="s">
        <v>36</v>
      </c>
      <c r="F331" s="1" t="s">
        <v>32</v>
      </c>
      <c r="G331">
        <v>250000</v>
      </c>
      <c r="H331" s="1">
        <v>1</v>
      </c>
      <c r="I331" s="1" t="s">
        <v>28</v>
      </c>
      <c r="J331" s="1" t="s">
        <v>29</v>
      </c>
      <c r="K331" s="15">
        <v>250000</v>
      </c>
      <c r="N331" s="29">
        <f t="shared" si="5"/>
        <v>250000</v>
      </c>
    </row>
    <row r="332" spans="1:14" x14ac:dyDescent="0.2">
      <c r="A332" s="2" t="s">
        <v>369</v>
      </c>
      <c r="B332" s="3">
        <v>45833</v>
      </c>
      <c r="C332" s="10" t="s">
        <v>13</v>
      </c>
      <c r="D332" s="10" t="s">
        <v>14</v>
      </c>
      <c r="E332" s="1" t="s">
        <v>26</v>
      </c>
      <c r="F332" s="1" t="s">
        <v>41</v>
      </c>
      <c r="G332">
        <v>275000</v>
      </c>
      <c r="H332" s="1">
        <v>3</v>
      </c>
      <c r="I332" s="1" t="s">
        <v>39</v>
      </c>
      <c r="J332" s="1" t="s">
        <v>29</v>
      </c>
      <c r="K332" s="15">
        <v>825000</v>
      </c>
      <c r="N332" s="29">
        <f t="shared" si="5"/>
        <v>825000</v>
      </c>
    </row>
    <row r="333" spans="1:14" x14ac:dyDescent="0.2">
      <c r="A333" s="2" t="s">
        <v>370</v>
      </c>
      <c r="B333" s="3">
        <v>45694</v>
      </c>
      <c r="C333" s="10" t="s">
        <v>19</v>
      </c>
      <c r="D333" s="10" t="s">
        <v>20</v>
      </c>
      <c r="E333" s="1" t="s">
        <v>47</v>
      </c>
      <c r="F333" s="1" t="s">
        <v>45</v>
      </c>
      <c r="G333">
        <v>250000</v>
      </c>
      <c r="H333" s="1">
        <v>3</v>
      </c>
      <c r="I333" s="1" t="s">
        <v>28</v>
      </c>
      <c r="J333" s="1" t="s">
        <v>29</v>
      </c>
      <c r="K333" s="15">
        <v>750000</v>
      </c>
      <c r="N333" s="29">
        <f t="shared" si="5"/>
        <v>750000</v>
      </c>
    </row>
    <row r="334" spans="1:14" x14ac:dyDescent="0.2">
      <c r="A334" s="2" t="s">
        <v>371</v>
      </c>
      <c r="B334" s="3">
        <v>45682</v>
      </c>
      <c r="C334" s="10" t="s">
        <v>23</v>
      </c>
      <c r="D334" s="10" t="s">
        <v>12</v>
      </c>
      <c r="E334" s="1" t="s">
        <v>26</v>
      </c>
      <c r="F334" s="1" t="s">
        <v>41</v>
      </c>
      <c r="G334">
        <v>375000</v>
      </c>
      <c r="H334" s="1">
        <v>3</v>
      </c>
      <c r="I334" s="1" t="s">
        <v>39</v>
      </c>
      <c r="J334" s="1" t="s">
        <v>37</v>
      </c>
      <c r="K334" s="15">
        <v>1125000</v>
      </c>
      <c r="N334" s="29">
        <f t="shared" si="5"/>
        <v>1125000</v>
      </c>
    </row>
    <row r="335" spans="1:14" x14ac:dyDescent="0.2">
      <c r="A335" s="2" t="s">
        <v>372</v>
      </c>
      <c r="B335" s="3">
        <v>45714</v>
      </c>
      <c r="C335" s="10" t="s">
        <v>23</v>
      </c>
      <c r="D335" s="10" t="s">
        <v>12</v>
      </c>
      <c r="E335" s="1" t="s">
        <v>47</v>
      </c>
      <c r="F335" s="1" t="s">
        <v>45</v>
      </c>
      <c r="G335">
        <v>375000</v>
      </c>
      <c r="H335" s="1">
        <v>3</v>
      </c>
      <c r="I335" s="1" t="s">
        <v>39</v>
      </c>
      <c r="J335" s="1" t="s">
        <v>29</v>
      </c>
      <c r="K335" s="15">
        <v>1125000</v>
      </c>
      <c r="N335" s="29">
        <f t="shared" si="5"/>
        <v>1125000</v>
      </c>
    </row>
    <row r="336" spans="1:14" x14ac:dyDescent="0.2">
      <c r="A336" s="2" t="s">
        <v>373</v>
      </c>
      <c r="B336" s="3">
        <v>45765</v>
      </c>
      <c r="C336" s="10" t="s">
        <v>17</v>
      </c>
      <c r="D336" s="10" t="s">
        <v>18</v>
      </c>
      <c r="E336" s="1" t="s">
        <v>36</v>
      </c>
      <c r="F336" s="1" t="s">
        <v>32</v>
      </c>
      <c r="G336">
        <v>300000</v>
      </c>
      <c r="H336" s="1">
        <v>3</v>
      </c>
      <c r="I336" s="1" t="s">
        <v>28</v>
      </c>
      <c r="J336" s="1" t="s">
        <v>29</v>
      </c>
      <c r="K336" s="15">
        <v>900000</v>
      </c>
      <c r="N336" s="29">
        <f t="shared" si="5"/>
        <v>900000</v>
      </c>
    </row>
    <row r="337" spans="1:14" x14ac:dyDescent="0.2">
      <c r="A337" s="2" t="s">
        <v>374</v>
      </c>
      <c r="B337" s="3">
        <v>45745</v>
      </c>
      <c r="C337" s="10" t="s">
        <v>23</v>
      </c>
      <c r="D337" s="10" t="s">
        <v>12</v>
      </c>
      <c r="E337" s="1" t="s">
        <v>31</v>
      </c>
      <c r="F337" s="1" t="s">
        <v>60</v>
      </c>
      <c r="G337">
        <v>375000</v>
      </c>
      <c r="H337" s="1">
        <v>3</v>
      </c>
      <c r="I337" s="1" t="s">
        <v>28</v>
      </c>
      <c r="J337" s="1" t="s">
        <v>37</v>
      </c>
      <c r="K337" s="15">
        <v>1125000</v>
      </c>
      <c r="N337" s="29">
        <f t="shared" si="5"/>
        <v>1125000</v>
      </c>
    </row>
    <row r="338" spans="1:14" x14ac:dyDescent="0.2">
      <c r="A338" s="2" t="s">
        <v>375</v>
      </c>
      <c r="B338" s="3">
        <v>45709</v>
      </c>
      <c r="C338" s="10" t="s">
        <v>15</v>
      </c>
      <c r="D338" s="10" t="s">
        <v>16</v>
      </c>
      <c r="E338" s="1" t="s">
        <v>26</v>
      </c>
      <c r="F338" s="1" t="s">
        <v>41</v>
      </c>
      <c r="G338">
        <v>225000</v>
      </c>
      <c r="H338" s="1">
        <v>2</v>
      </c>
      <c r="I338" s="1" t="s">
        <v>39</v>
      </c>
      <c r="J338" s="1" t="s">
        <v>29</v>
      </c>
      <c r="K338" s="15">
        <v>450000</v>
      </c>
      <c r="N338" s="29">
        <f t="shared" si="5"/>
        <v>450000</v>
      </c>
    </row>
    <row r="339" spans="1:14" x14ac:dyDescent="0.2">
      <c r="A339" s="2" t="s">
        <v>376</v>
      </c>
      <c r="B339" s="3">
        <v>45793</v>
      </c>
      <c r="C339" s="10" t="s">
        <v>17</v>
      </c>
      <c r="D339" s="10" t="s">
        <v>18</v>
      </c>
      <c r="E339" s="1" t="s">
        <v>31</v>
      </c>
      <c r="F339" s="1" t="s">
        <v>27</v>
      </c>
      <c r="G339">
        <v>300000</v>
      </c>
      <c r="H339" s="1">
        <v>2</v>
      </c>
      <c r="I339" s="1" t="s">
        <v>28</v>
      </c>
      <c r="J339" s="1" t="s">
        <v>37</v>
      </c>
      <c r="K339" s="15">
        <v>600000</v>
      </c>
      <c r="N339" s="29">
        <f t="shared" si="5"/>
        <v>600000</v>
      </c>
    </row>
    <row r="340" spans="1:14" x14ac:dyDescent="0.2">
      <c r="A340" s="2" t="s">
        <v>377</v>
      </c>
      <c r="B340" s="3">
        <v>45741</v>
      </c>
      <c r="C340" s="10" t="s">
        <v>21</v>
      </c>
      <c r="D340" s="10" t="s">
        <v>22</v>
      </c>
      <c r="E340" s="1" t="s">
        <v>26</v>
      </c>
      <c r="F340" s="1" t="s">
        <v>45</v>
      </c>
      <c r="G340">
        <v>75000</v>
      </c>
      <c r="H340" s="1">
        <v>1</v>
      </c>
      <c r="I340" s="1" t="s">
        <v>28</v>
      </c>
      <c r="J340" s="1" t="s">
        <v>29</v>
      </c>
      <c r="K340" s="15">
        <v>75000</v>
      </c>
      <c r="N340" s="29">
        <f t="shared" si="5"/>
        <v>75000</v>
      </c>
    </row>
    <row r="341" spans="1:14" x14ac:dyDescent="0.2">
      <c r="A341" s="2" t="s">
        <v>378</v>
      </c>
      <c r="B341" s="3">
        <v>45789</v>
      </c>
      <c r="C341" s="10" t="s">
        <v>15</v>
      </c>
      <c r="D341" s="10" t="s">
        <v>16</v>
      </c>
      <c r="E341" s="1" t="s">
        <v>47</v>
      </c>
      <c r="F341" s="1" t="s">
        <v>45</v>
      </c>
      <c r="G341">
        <v>225000</v>
      </c>
      <c r="H341" s="1">
        <v>3</v>
      </c>
      <c r="I341" s="1" t="s">
        <v>28</v>
      </c>
      <c r="J341" s="1" t="s">
        <v>29</v>
      </c>
      <c r="K341" s="15">
        <v>675000</v>
      </c>
      <c r="N341" s="29">
        <f t="shared" si="5"/>
        <v>675000</v>
      </c>
    </row>
    <row r="342" spans="1:14" x14ac:dyDescent="0.2">
      <c r="A342" s="2" t="s">
        <v>379</v>
      </c>
      <c r="B342" s="3">
        <v>45750</v>
      </c>
      <c r="C342" s="10" t="s">
        <v>21</v>
      </c>
      <c r="D342" s="10" t="s">
        <v>22</v>
      </c>
      <c r="E342" s="1" t="s">
        <v>31</v>
      </c>
      <c r="F342" s="1" t="s">
        <v>32</v>
      </c>
      <c r="G342">
        <v>75000</v>
      </c>
      <c r="H342" s="1">
        <v>1</v>
      </c>
      <c r="I342" s="1" t="s">
        <v>28</v>
      </c>
      <c r="J342" s="1" t="s">
        <v>37</v>
      </c>
      <c r="K342" s="15">
        <v>75000</v>
      </c>
      <c r="N342" s="29">
        <f t="shared" si="5"/>
        <v>75000</v>
      </c>
    </row>
    <row r="343" spans="1:14" x14ac:dyDescent="0.2">
      <c r="A343" s="2" t="s">
        <v>380</v>
      </c>
      <c r="B343" s="3">
        <v>45796</v>
      </c>
      <c r="C343" s="10" t="s">
        <v>23</v>
      </c>
      <c r="D343" s="10" t="s">
        <v>12</v>
      </c>
      <c r="E343" s="1" t="s">
        <v>36</v>
      </c>
      <c r="F343" s="1" t="s">
        <v>27</v>
      </c>
      <c r="G343">
        <v>375000</v>
      </c>
      <c r="H343" s="1">
        <v>3</v>
      </c>
      <c r="I343" s="1" t="s">
        <v>28</v>
      </c>
      <c r="J343" s="1" t="s">
        <v>37</v>
      </c>
      <c r="K343" s="15">
        <v>1125000</v>
      </c>
      <c r="N343" s="29">
        <f t="shared" si="5"/>
        <v>1125000</v>
      </c>
    </row>
    <row r="344" spans="1:14" x14ac:dyDescent="0.2">
      <c r="A344" s="2" t="s">
        <v>381</v>
      </c>
      <c r="B344" s="3">
        <v>45673</v>
      </c>
      <c r="C344" s="10" t="s">
        <v>17</v>
      </c>
      <c r="D344" s="10" t="s">
        <v>18</v>
      </c>
      <c r="E344" s="1" t="s">
        <v>36</v>
      </c>
      <c r="F344" s="1" t="s">
        <v>41</v>
      </c>
      <c r="G344">
        <v>300000</v>
      </c>
      <c r="H344" s="1">
        <v>3</v>
      </c>
      <c r="I344" s="1" t="s">
        <v>28</v>
      </c>
      <c r="J344" s="1" t="s">
        <v>29</v>
      </c>
      <c r="K344" s="15">
        <v>900000</v>
      </c>
      <c r="N344" s="29">
        <f t="shared" si="5"/>
        <v>900000</v>
      </c>
    </row>
    <row r="345" spans="1:14" x14ac:dyDescent="0.2">
      <c r="A345" s="2" t="s">
        <v>382</v>
      </c>
      <c r="B345" s="3">
        <v>45715</v>
      </c>
      <c r="C345" s="10" t="s">
        <v>24</v>
      </c>
      <c r="D345" s="10" t="s">
        <v>16</v>
      </c>
      <c r="E345" s="1" t="s">
        <v>26</v>
      </c>
      <c r="F345" s="1" t="s">
        <v>32</v>
      </c>
      <c r="G345">
        <v>240000</v>
      </c>
      <c r="H345" s="1">
        <v>1</v>
      </c>
      <c r="I345" s="1" t="s">
        <v>39</v>
      </c>
      <c r="J345" s="1" t="s">
        <v>29</v>
      </c>
      <c r="K345" s="15">
        <v>240000</v>
      </c>
      <c r="N345" s="29">
        <f t="shared" si="5"/>
        <v>240000</v>
      </c>
    </row>
    <row r="346" spans="1:14" x14ac:dyDescent="0.2">
      <c r="A346" s="2" t="s">
        <v>383</v>
      </c>
      <c r="B346" s="3">
        <v>45699</v>
      </c>
      <c r="C346" s="10" t="s">
        <v>19</v>
      </c>
      <c r="D346" s="10" t="s">
        <v>20</v>
      </c>
      <c r="E346" s="1" t="s">
        <v>36</v>
      </c>
      <c r="F346" s="1" t="s">
        <v>60</v>
      </c>
      <c r="G346">
        <v>250000</v>
      </c>
      <c r="H346" s="1">
        <v>3</v>
      </c>
      <c r="I346" s="1" t="s">
        <v>39</v>
      </c>
      <c r="J346" s="1" t="s">
        <v>37</v>
      </c>
      <c r="K346" s="15">
        <v>750000</v>
      </c>
      <c r="N346" s="29">
        <f t="shared" si="5"/>
        <v>750000</v>
      </c>
    </row>
    <row r="347" spans="1:14" x14ac:dyDescent="0.2">
      <c r="A347" s="2" t="s">
        <v>384</v>
      </c>
      <c r="B347" s="3">
        <v>45783</v>
      </c>
      <c r="C347" s="10" t="s">
        <v>11</v>
      </c>
      <c r="D347" s="10" t="s">
        <v>12</v>
      </c>
      <c r="E347" s="1" t="s">
        <v>36</v>
      </c>
      <c r="F347" s="1" t="s">
        <v>32</v>
      </c>
      <c r="G347">
        <v>350000</v>
      </c>
      <c r="H347" s="1">
        <v>2</v>
      </c>
      <c r="I347" s="1" t="s">
        <v>39</v>
      </c>
      <c r="J347" s="1" t="s">
        <v>29</v>
      </c>
      <c r="K347" s="15">
        <v>700000</v>
      </c>
      <c r="N347" s="29">
        <f t="shared" si="5"/>
        <v>700000</v>
      </c>
    </row>
    <row r="348" spans="1:14" x14ac:dyDescent="0.2">
      <c r="A348" s="2" t="s">
        <v>385</v>
      </c>
      <c r="B348" s="3">
        <v>45818</v>
      </c>
      <c r="C348" s="10" t="s">
        <v>19</v>
      </c>
      <c r="D348" s="10" t="s">
        <v>20</v>
      </c>
      <c r="E348" s="1" t="s">
        <v>26</v>
      </c>
      <c r="F348" s="1" t="s">
        <v>45</v>
      </c>
      <c r="G348">
        <v>250000</v>
      </c>
      <c r="H348" s="1">
        <v>1</v>
      </c>
      <c r="I348" s="1" t="s">
        <v>39</v>
      </c>
      <c r="J348" s="1" t="s">
        <v>29</v>
      </c>
      <c r="K348" s="15">
        <v>250000</v>
      </c>
      <c r="N348" s="29">
        <f t="shared" si="5"/>
        <v>250000</v>
      </c>
    </row>
    <row r="349" spans="1:14" x14ac:dyDescent="0.2">
      <c r="A349" s="2" t="s">
        <v>386</v>
      </c>
      <c r="B349" s="3">
        <v>45832</v>
      </c>
      <c r="C349" s="10" t="s">
        <v>19</v>
      </c>
      <c r="D349" s="10" t="s">
        <v>20</v>
      </c>
      <c r="E349" s="1" t="s">
        <v>26</v>
      </c>
      <c r="F349" s="1" t="s">
        <v>27</v>
      </c>
      <c r="G349">
        <v>250000</v>
      </c>
      <c r="H349" s="1">
        <v>3</v>
      </c>
      <c r="I349" s="1" t="s">
        <v>39</v>
      </c>
      <c r="J349" s="1" t="s">
        <v>37</v>
      </c>
      <c r="K349" s="15">
        <v>750000</v>
      </c>
      <c r="N349" s="29">
        <f t="shared" si="5"/>
        <v>750000</v>
      </c>
    </row>
    <row r="350" spans="1:14" x14ac:dyDescent="0.2">
      <c r="A350" s="2" t="s">
        <v>387</v>
      </c>
      <c r="B350" s="3">
        <v>45689</v>
      </c>
      <c r="C350" s="10" t="s">
        <v>24</v>
      </c>
      <c r="D350" s="10" t="s">
        <v>16</v>
      </c>
      <c r="E350" s="1" t="s">
        <v>31</v>
      </c>
      <c r="F350" s="1" t="s">
        <v>32</v>
      </c>
      <c r="G350">
        <v>240000</v>
      </c>
      <c r="H350" s="1">
        <v>1</v>
      </c>
      <c r="I350" s="1" t="s">
        <v>39</v>
      </c>
      <c r="J350" s="1" t="s">
        <v>29</v>
      </c>
      <c r="K350" s="15">
        <v>240000</v>
      </c>
      <c r="N350" s="29">
        <f t="shared" si="5"/>
        <v>240000</v>
      </c>
    </row>
    <row r="351" spans="1:14" x14ac:dyDescent="0.2">
      <c r="A351" s="2" t="s">
        <v>388</v>
      </c>
      <c r="B351" s="3">
        <v>45662</v>
      </c>
      <c r="C351" s="10" t="s">
        <v>19</v>
      </c>
      <c r="D351" s="10" t="s">
        <v>20</v>
      </c>
      <c r="E351" s="1" t="s">
        <v>26</v>
      </c>
      <c r="F351" s="1" t="s">
        <v>34</v>
      </c>
      <c r="G351">
        <v>250000</v>
      </c>
      <c r="H351" s="1">
        <v>3</v>
      </c>
      <c r="I351" s="1" t="s">
        <v>39</v>
      </c>
      <c r="J351" s="1" t="s">
        <v>37</v>
      </c>
      <c r="K351" s="15">
        <v>750000</v>
      </c>
      <c r="N351" s="29">
        <f t="shared" si="5"/>
        <v>750000</v>
      </c>
    </row>
    <row r="352" spans="1:14" x14ac:dyDescent="0.2">
      <c r="A352" s="2" t="s">
        <v>389</v>
      </c>
      <c r="B352" s="3">
        <v>45773</v>
      </c>
      <c r="C352" s="10" t="s">
        <v>21</v>
      </c>
      <c r="D352" s="10" t="s">
        <v>22</v>
      </c>
      <c r="E352" s="1" t="s">
        <v>26</v>
      </c>
      <c r="F352" s="1" t="s">
        <v>60</v>
      </c>
      <c r="G352">
        <v>75000</v>
      </c>
      <c r="H352" s="1">
        <v>1</v>
      </c>
      <c r="I352" s="1" t="s">
        <v>39</v>
      </c>
      <c r="J352" s="1" t="s">
        <v>29</v>
      </c>
      <c r="K352" s="15">
        <v>75000</v>
      </c>
      <c r="N352" s="29">
        <f t="shared" si="5"/>
        <v>75000</v>
      </c>
    </row>
    <row r="353" spans="1:14" x14ac:dyDescent="0.2">
      <c r="A353" s="2" t="s">
        <v>390</v>
      </c>
      <c r="B353" s="3">
        <v>45754</v>
      </c>
      <c r="C353" s="10" t="s">
        <v>19</v>
      </c>
      <c r="D353" s="10" t="s">
        <v>20</v>
      </c>
      <c r="E353" s="1" t="s">
        <v>26</v>
      </c>
      <c r="F353" s="1" t="s">
        <v>27</v>
      </c>
      <c r="G353">
        <v>250000</v>
      </c>
      <c r="H353" s="1">
        <v>1</v>
      </c>
      <c r="I353" s="1" t="s">
        <v>39</v>
      </c>
      <c r="J353" s="1" t="s">
        <v>29</v>
      </c>
      <c r="K353" s="15">
        <v>250000</v>
      </c>
      <c r="N353" s="29">
        <f t="shared" si="5"/>
        <v>250000</v>
      </c>
    </row>
    <row r="354" spans="1:14" x14ac:dyDescent="0.2">
      <c r="A354" s="2" t="s">
        <v>391</v>
      </c>
      <c r="B354" s="3">
        <v>45760</v>
      </c>
      <c r="C354" s="10" t="s">
        <v>19</v>
      </c>
      <c r="D354" s="10" t="s">
        <v>20</v>
      </c>
      <c r="E354" s="1" t="s">
        <v>31</v>
      </c>
      <c r="F354" s="1" t="s">
        <v>32</v>
      </c>
      <c r="G354">
        <v>250000</v>
      </c>
      <c r="H354" s="1">
        <v>2</v>
      </c>
      <c r="I354" s="1" t="s">
        <v>39</v>
      </c>
      <c r="J354" s="1" t="s">
        <v>37</v>
      </c>
      <c r="K354" s="15">
        <v>500000</v>
      </c>
      <c r="N354" s="29">
        <f t="shared" si="5"/>
        <v>500000</v>
      </c>
    </row>
    <row r="355" spans="1:14" x14ac:dyDescent="0.2">
      <c r="A355" s="2" t="s">
        <v>392</v>
      </c>
      <c r="B355" s="3">
        <v>45725</v>
      </c>
      <c r="C355" s="10" t="s">
        <v>21</v>
      </c>
      <c r="D355" s="10" t="s">
        <v>22</v>
      </c>
      <c r="E355" s="1" t="s">
        <v>31</v>
      </c>
      <c r="F355" s="1" t="s">
        <v>32</v>
      </c>
      <c r="G355">
        <v>75000</v>
      </c>
      <c r="H355" s="1">
        <v>3</v>
      </c>
      <c r="I355" s="1" t="s">
        <v>28</v>
      </c>
      <c r="J355" s="1" t="s">
        <v>37</v>
      </c>
      <c r="K355" s="15">
        <v>225000</v>
      </c>
      <c r="N355" s="29">
        <f t="shared" si="5"/>
        <v>225000</v>
      </c>
    </row>
    <row r="356" spans="1:14" x14ac:dyDescent="0.2">
      <c r="A356" s="2" t="s">
        <v>393</v>
      </c>
      <c r="B356" s="3">
        <v>45663</v>
      </c>
      <c r="C356" s="10" t="s">
        <v>17</v>
      </c>
      <c r="D356" s="10" t="s">
        <v>18</v>
      </c>
      <c r="E356" s="1" t="s">
        <v>31</v>
      </c>
      <c r="F356" s="1" t="s">
        <v>45</v>
      </c>
      <c r="G356">
        <v>300000</v>
      </c>
      <c r="H356" s="1">
        <v>2</v>
      </c>
      <c r="I356" s="1" t="s">
        <v>28</v>
      </c>
      <c r="J356" s="1" t="s">
        <v>29</v>
      </c>
      <c r="K356" s="15">
        <v>600000</v>
      </c>
      <c r="N356" s="29">
        <f t="shared" si="5"/>
        <v>600000</v>
      </c>
    </row>
    <row r="357" spans="1:14" x14ac:dyDescent="0.2">
      <c r="A357" s="2" t="s">
        <v>394</v>
      </c>
      <c r="B357" s="3">
        <v>45702</v>
      </c>
      <c r="C357" s="10" t="s">
        <v>13</v>
      </c>
      <c r="D357" s="10" t="s">
        <v>14</v>
      </c>
      <c r="E357" s="1" t="s">
        <v>31</v>
      </c>
      <c r="F357" s="1" t="s">
        <v>27</v>
      </c>
      <c r="G357">
        <v>275000</v>
      </c>
      <c r="H357" s="1">
        <v>1</v>
      </c>
      <c r="I357" s="1" t="s">
        <v>28</v>
      </c>
      <c r="J357" s="1" t="s">
        <v>37</v>
      </c>
      <c r="K357" s="15">
        <v>275000</v>
      </c>
      <c r="N357" s="29">
        <f t="shared" si="5"/>
        <v>275000</v>
      </c>
    </row>
    <row r="358" spans="1:14" x14ac:dyDescent="0.2">
      <c r="A358" s="2" t="s">
        <v>395</v>
      </c>
      <c r="B358" s="3">
        <v>45778</v>
      </c>
      <c r="C358" s="10" t="s">
        <v>11</v>
      </c>
      <c r="D358" s="10" t="s">
        <v>12</v>
      </c>
      <c r="E358" s="1" t="s">
        <v>36</v>
      </c>
      <c r="F358" s="1" t="s">
        <v>41</v>
      </c>
      <c r="G358">
        <v>350000</v>
      </c>
      <c r="H358" s="1">
        <v>1</v>
      </c>
      <c r="I358" s="1" t="s">
        <v>39</v>
      </c>
      <c r="J358" s="1" t="s">
        <v>29</v>
      </c>
      <c r="K358" s="15">
        <v>350000</v>
      </c>
      <c r="N358" s="29">
        <f t="shared" si="5"/>
        <v>350000</v>
      </c>
    </row>
    <row r="359" spans="1:14" x14ac:dyDescent="0.2">
      <c r="A359" s="2" t="s">
        <v>396</v>
      </c>
      <c r="B359" s="3">
        <v>45782</v>
      </c>
      <c r="C359" s="10" t="s">
        <v>19</v>
      </c>
      <c r="D359" s="10" t="s">
        <v>20</v>
      </c>
      <c r="E359" s="1" t="s">
        <v>26</v>
      </c>
      <c r="F359" s="1" t="s">
        <v>27</v>
      </c>
      <c r="G359">
        <v>250000</v>
      </c>
      <c r="H359" s="1">
        <v>1</v>
      </c>
      <c r="I359" s="1" t="s">
        <v>28</v>
      </c>
      <c r="J359" s="1" t="s">
        <v>29</v>
      </c>
      <c r="K359" s="15">
        <v>250000</v>
      </c>
      <c r="N359" s="29">
        <f t="shared" si="5"/>
        <v>250000</v>
      </c>
    </row>
    <row r="360" spans="1:14" x14ac:dyDescent="0.2">
      <c r="A360" s="2" t="s">
        <v>397</v>
      </c>
      <c r="B360" s="3">
        <v>45773</v>
      </c>
      <c r="C360" s="10" t="s">
        <v>21</v>
      </c>
      <c r="D360" s="10" t="s">
        <v>22</v>
      </c>
      <c r="E360" s="1" t="s">
        <v>47</v>
      </c>
      <c r="F360" s="1" t="s">
        <v>34</v>
      </c>
      <c r="G360">
        <v>75000</v>
      </c>
      <c r="H360" s="1">
        <v>3</v>
      </c>
      <c r="I360" s="1" t="s">
        <v>28</v>
      </c>
      <c r="J360" s="1" t="s">
        <v>29</v>
      </c>
      <c r="K360" s="15">
        <v>225000</v>
      </c>
      <c r="N360" s="29">
        <f t="shared" si="5"/>
        <v>225000</v>
      </c>
    </row>
    <row r="361" spans="1:14" x14ac:dyDescent="0.2">
      <c r="A361" s="2" t="s">
        <v>398</v>
      </c>
      <c r="B361" s="3">
        <v>45700</v>
      </c>
      <c r="C361" s="10" t="s">
        <v>15</v>
      </c>
      <c r="D361" s="10" t="s">
        <v>16</v>
      </c>
      <c r="E361" s="1" t="s">
        <v>31</v>
      </c>
      <c r="F361" s="1" t="s">
        <v>41</v>
      </c>
      <c r="G361">
        <v>225000</v>
      </c>
      <c r="H361" s="1">
        <v>3</v>
      </c>
      <c r="I361" s="1" t="s">
        <v>39</v>
      </c>
      <c r="J361" s="1" t="s">
        <v>29</v>
      </c>
      <c r="K361" s="15">
        <v>675000</v>
      </c>
      <c r="N361" s="29">
        <f t="shared" si="5"/>
        <v>675000</v>
      </c>
    </row>
    <row r="362" spans="1:14" x14ac:dyDescent="0.2">
      <c r="A362" s="2" t="s">
        <v>399</v>
      </c>
      <c r="B362" s="3">
        <v>45836</v>
      </c>
      <c r="C362" s="10" t="s">
        <v>13</v>
      </c>
      <c r="D362" s="10" t="s">
        <v>14</v>
      </c>
      <c r="E362" s="1" t="s">
        <v>36</v>
      </c>
      <c r="F362" s="1" t="s">
        <v>34</v>
      </c>
      <c r="G362">
        <v>275000</v>
      </c>
      <c r="H362" s="1">
        <v>2</v>
      </c>
      <c r="I362" s="1" t="s">
        <v>28</v>
      </c>
      <c r="J362" s="1" t="s">
        <v>37</v>
      </c>
      <c r="K362" s="15">
        <v>550000</v>
      </c>
      <c r="N362" s="29">
        <f t="shared" si="5"/>
        <v>550000</v>
      </c>
    </row>
    <row r="363" spans="1:14" x14ac:dyDescent="0.2">
      <c r="A363" s="2" t="s">
        <v>400</v>
      </c>
      <c r="B363" s="3">
        <v>45686</v>
      </c>
      <c r="C363" s="10" t="s">
        <v>15</v>
      </c>
      <c r="D363" s="10" t="s">
        <v>16</v>
      </c>
      <c r="E363" s="1" t="s">
        <v>36</v>
      </c>
      <c r="F363" s="1" t="s">
        <v>34</v>
      </c>
      <c r="G363">
        <v>225000</v>
      </c>
      <c r="H363" s="1">
        <v>3</v>
      </c>
      <c r="I363" s="1" t="s">
        <v>28</v>
      </c>
      <c r="J363" s="1" t="s">
        <v>37</v>
      </c>
      <c r="K363" s="15">
        <v>675000</v>
      </c>
      <c r="N363" s="29">
        <f t="shared" si="5"/>
        <v>675000</v>
      </c>
    </row>
    <row r="364" spans="1:14" x14ac:dyDescent="0.2">
      <c r="A364" s="2" t="s">
        <v>401</v>
      </c>
      <c r="B364" s="3">
        <v>45707</v>
      </c>
      <c r="C364" s="10" t="s">
        <v>13</v>
      </c>
      <c r="D364" s="10" t="s">
        <v>14</v>
      </c>
      <c r="E364" s="1" t="s">
        <v>36</v>
      </c>
      <c r="F364" s="1" t="s">
        <v>34</v>
      </c>
      <c r="G364">
        <v>275000</v>
      </c>
      <c r="H364" s="1">
        <v>3</v>
      </c>
      <c r="I364" s="1" t="s">
        <v>39</v>
      </c>
      <c r="J364" s="1" t="s">
        <v>37</v>
      </c>
      <c r="K364" s="15">
        <v>825000</v>
      </c>
      <c r="N364" s="29">
        <f t="shared" si="5"/>
        <v>825000</v>
      </c>
    </row>
    <row r="365" spans="1:14" x14ac:dyDescent="0.2">
      <c r="A365" s="2" t="s">
        <v>402</v>
      </c>
      <c r="B365" s="3">
        <v>45676</v>
      </c>
      <c r="C365" s="10" t="s">
        <v>13</v>
      </c>
      <c r="D365" s="10" t="s">
        <v>14</v>
      </c>
      <c r="E365" s="1" t="s">
        <v>36</v>
      </c>
      <c r="F365" s="1" t="s">
        <v>27</v>
      </c>
      <c r="G365">
        <v>275000</v>
      </c>
      <c r="H365" s="1">
        <v>3</v>
      </c>
      <c r="I365" s="1" t="s">
        <v>28</v>
      </c>
      <c r="J365" s="1" t="s">
        <v>37</v>
      </c>
      <c r="K365" s="15">
        <v>825000</v>
      </c>
      <c r="N365" s="29">
        <f t="shared" si="5"/>
        <v>825000</v>
      </c>
    </row>
    <row r="366" spans="1:14" x14ac:dyDescent="0.2">
      <c r="A366" s="2" t="s">
        <v>403</v>
      </c>
      <c r="B366" s="3">
        <v>45810</v>
      </c>
      <c r="C366" s="10" t="s">
        <v>21</v>
      </c>
      <c r="D366" s="10" t="s">
        <v>22</v>
      </c>
      <c r="E366" s="1" t="s">
        <v>31</v>
      </c>
      <c r="F366" s="1" t="s">
        <v>27</v>
      </c>
      <c r="G366">
        <v>75000</v>
      </c>
      <c r="H366" s="1">
        <v>2</v>
      </c>
      <c r="I366" s="1" t="s">
        <v>39</v>
      </c>
      <c r="J366" s="1" t="s">
        <v>37</v>
      </c>
      <c r="K366" s="15">
        <v>150000</v>
      </c>
      <c r="N366" s="29">
        <f t="shared" si="5"/>
        <v>150000</v>
      </c>
    </row>
    <row r="367" spans="1:14" x14ac:dyDescent="0.2">
      <c r="A367" s="2" t="s">
        <v>404</v>
      </c>
      <c r="B367" s="3">
        <v>45772</v>
      </c>
      <c r="C367" s="10" t="s">
        <v>11</v>
      </c>
      <c r="D367" s="10" t="s">
        <v>12</v>
      </c>
      <c r="E367" s="1" t="s">
        <v>31</v>
      </c>
      <c r="F367" s="1" t="s">
        <v>45</v>
      </c>
      <c r="G367">
        <v>350000</v>
      </c>
      <c r="H367" s="1">
        <v>1</v>
      </c>
      <c r="I367" s="1" t="s">
        <v>28</v>
      </c>
      <c r="J367" s="1" t="s">
        <v>37</v>
      </c>
      <c r="K367" s="15">
        <v>350000</v>
      </c>
      <c r="N367" s="29">
        <f t="shared" si="5"/>
        <v>350000</v>
      </c>
    </row>
    <row r="368" spans="1:14" x14ac:dyDescent="0.2">
      <c r="A368" s="2" t="s">
        <v>405</v>
      </c>
      <c r="B368" s="3">
        <v>45680</v>
      </c>
      <c r="C368" s="10" t="s">
        <v>17</v>
      </c>
      <c r="D368" s="10" t="s">
        <v>18</v>
      </c>
      <c r="E368" s="1" t="s">
        <v>31</v>
      </c>
      <c r="F368" s="1" t="s">
        <v>41</v>
      </c>
      <c r="G368">
        <v>300000</v>
      </c>
      <c r="H368" s="1">
        <v>2</v>
      </c>
      <c r="I368" s="1" t="s">
        <v>39</v>
      </c>
      <c r="J368" s="1" t="s">
        <v>37</v>
      </c>
      <c r="K368" s="15">
        <v>600000</v>
      </c>
      <c r="N368" s="29">
        <f t="shared" si="5"/>
        <v>600000</v>
      </c>
    </row>
    <row r="369" spans="1:14" x14ac:dyDescent="0.2">
      <c r="A369" s="2" t="s">
        <v>406</v>
      </c>
      <c r="B369" s="3">
        <v>45813</v>
      </c>
      <c r="C369" s="10" t="s">
        <v>15</v>
      </c>
      <c r="D369" s="10" t="s">
        <v>16</v>
      </c>
      <c r="E369" s="1" t="s">
        <v>31</v>
      </c>
      <c r="F369" s="1" t="s">
        <v>60</v>
      </c>
      <c r="G369">
        <v>225000</v>
      </c>
      <c r="H369" s="1">
        <v>3</v>
      </c>
      <c r="I369" s="1" t="s">
        <v>28</v>
      </c>
      <c r="J369" s="1" t="s">
        <v>29</v>
      </c>
      <c r="K369" s="15">
        <v>675000</v>
      </c>
      <c r="N369" s="29">
        <f t="shared" si="5"/>
        <v>675000</v>
      </c>
    </row>
    <row r="370" spans="1:14" x14ac:dyDescent="0.2">
      <c r="A370" s="2" t="s">
        <v>407</v>
      </c>
      <c r="B370" s="3">
        <v>45799</v>
      </c>
      <c r="C370" s="10" t="s">
        <v>23</v>
      </c>
      <c r="D370" s="10" t="s">
        <v>12</v>
      </c>
      <c r="E370" s="1" t="s">
        <v>26</v>
      </c>
      <c r="F370" s="1" t="s">
        <v>60</v>
      </c>
      <c r="G370">
        <v>375000</v>
      </c>
      <c r="H370" s="1">
        <v>1</v>
      </c>
      <c r="I370" s="1" t="s">
        <v>39</v>
      </c>
      <c r="J370" s="1" t="s">
        <v>29</v>
      </c>
      <c r="K370" s="15">
        <v>375000</v>
      </c>
      <c r="N370" s="29">
        <f t="shared" si="5"/>
        <v>375000</v>
      </c>
    </row>
    <row r="371" spans="1:14" x14ac:dyDescent="0.2">
      <c r="A371" s="2" t="s">
        <v>408</v>
      </c>
      <c r="B371" s="3">
        <v>45663</v>
      </c>
      <c r="C371" s="10" t="s">
        <v>19</v>
      </c>
      <c r="D371" s="10" t="s">
        <v>20</v>
      </c>
      <c r="E371" s="1" t="s">
        <v>47</v>
      </c>
      <c r="F371" s="1" t="s">
        <v>41</v>
      </c>
      <c r="G371">
        <v>250000</v>
      </c>
      <c r="H371" s="1">
        <v>1</v>
      </c>
      <c r="I371" s="1" t="s">
        <v>39</v>
      </c>
      <c r="J371" s="1" t="s">
        <v>37</v>
      </c>
      <c r="K371" s="15">
        <v>250000</v>
      </c>
      <c r="N371" s="29">
        <f t="shared" si="5"/>
        <v>250000</v>
      </c>
    </row>
    <row r="372" spans="1:14" x14ac:dyDescent="0.2">
      <c r="A372" s="2" t="s">
        <v>409</v>
      </c>
      <c r="B372" s="3">
        <v>45686</v>
      </c>
      <c r="C372" s="10" t="s">
        <v>19</v>
      </c>
      <c r="D372" s="10" t="s">
        <v>20</v>
      </c>
      <c r="E372" s="1" t="s">
        <v>26</v>
      </c>
      <c r="F372" s="1" t="s">
        <v>45</v>
      </c>
      <c r="G372">
        <v>250000</v>
      </c>
      <c r="H372" s="1">
        <v>3</v>
      </c>
      <c r="I372" s="1" t="s">
        <v>39</v>
      </c>
      <c r="J372" s="1" t="s">
        <v>29</v>
      </c>
      <c r="K372" s="15">
        <v>750000</v>
      </c>
      <c r="N372" s="29">
        <f t="shared" si="5"/>
        <v>750000</v>
      </c>
    </row>
    <row r="373" spans="1:14" x14ac:dyDescent="0.2">
      <c r="A373" s="2" t="s">
        <v>410</v>
      </c>
      <c r="B373" s="3">
        <v>45741</v>
      </c>
      <c r="C373" s="10" t="s">
        <v>24</v>
      </c>
      <c r="D373" s="10" t="s">
        <v>16</v>
      </c>
      <c r="E373" s="1" t="s">
        <v>31</v>
      </c>
      <c r="F373" s="1" t="s">
        <v>27</v>
      </c>
      <c r="G373">
        <v>240000</v>
      </c>
      <c r="H373" s="1">
        <v>3</v>
      </c>
      <c r="I373" s="1" t="s">
        <v>39</v>
      </c>
      <c r="J373" s="1" t="s">
        <v>29</v>
      </c>
      <c r="K373" s="15">
        <v>720000</v>
      </c>
      <c r="N373" s="29">
        <f t="shared" si="5"/>
        <v>720000</v>
      </c>
    </row>
    <row r="374" spans="1:14" x14ac:dyDescent="0.2">
      <c r="A374" s="2" t="s">
        <v>411</v>
      </c>
      <c r="B374" s="3">
        <v>45777</v>
      </c>
      <c r="C374" s="10" t="s">
        <v>15</v>
      </c>
      <c r="D374" s="10" t="s">
        <v>16</v>
      </c>
      <c r="E374" s="1" t="s">
        <v>26</v>
      </c>
      <c r="F374" s="1" t="s">
        <v>32</v>
      </c>
      <c r="G374">
        <v>225000</v>
      </c>
      <c r="H374" s="1">
        <v>2</v>
      </c>
      <c r="I374" s="1" t="s">
        <v>28</v>
      </c>
      <c r="J374" s="1" t="s">
        <v>37</v>
      </c>
      <c r="K374" s="15">
        <v>450000</v>
      </c>
      <c r="N374" s="29">
        <f t="shared" si="5"/>
        <v>450000</v>
      </c>
    </row>
    <row r="375" spans="1:14" x14ac:dyDescent="0.2">
      <c r="A375" s="2" t="s">
        <v>412</v>
      </c>
      <c r="B375" s="3">
        <v>45723</v>
      </c>
      <c r="C375" s="10" t="s">
        <v>11</v>
      </c>
      <c r="D375" s="10" t="s">
        <v>12</v>
      </c>
      <c r="E375" s="1" t="s">
        <v>26</v>
      </c>
      <c r="F375" s="1" t="s">
        <v>45</v>
      </c>
      <c r="G375">
        <v>350000</v>
      </c>
      <c r="H375" s="1">
        <v>2</v>
      </c>
      <c r="I375" s="1" t="s">
        <v>28</v>
      </c>
      <c r="J375" s="1" t="s">
        <v>37</v>
      </c>
      <c r="K375" s="15">
        <v>700000</v>
      </c>
      <c r="N375" s="29">
        <f t="shared" si="5"/>
        <v>700000</v>
      </c>
    </row>
    <row r="376" spans="1:14" x14ac:dyDescent="0.2">
      <c r="A376" s="2" t="s">
        <v>413</v>
      </c>
      <c r="B376" s="3">
        <v>45752</v>
      </c>
      <c r="C376" s="10" t="s">
        <v>21</v>
      </c>
      <c r="D376" s="10" t="s">
        <v>22</v>
      </c>
      <c r="E376" s="1" t="s">
        <v>36</v>
      </c>
      <c r="F376" s="1" t="s">
        <v>60</v>
      </c>
      <c r="G376">
        <v>75000</v>
      </c>
      <c r="H376" s="1">
        <v>2</v>
      </c>
      <c r="I376" s="1" t="s">
        <v>39</v>
      </c>
      <c r="J376" s="1" t="s">
        <v>37</v>
      </c>
      <c r="K376" s="15">
        <v>150000</v>
      </c>
      <c r="N376" s="29">
        <f t="shared" si="5"/>
        <v>150000</v>
      </c>
    </row>
    <row r="377" spans="1:14" x14ac:dyDescent="0.2">
      <c r="A377" s="2" t="s">
        <v>414</v>
      </c>
      <c r="B377" s="3">
        <v>45671</v>
      </c>
      <c r="C377" s="10" t="s">
        <v>13</v>
      </c>
      <c r="D377" s="10" t="s">
        <v>14</v>
      </c>
      <c r="E377" s="1" t="s">
        <v>36</v>
      </c>
      <c r="F377" s="1" t="s">
        <v>41</v>
      </c>
      <c r="G377">
        <v>275000</v>
      </c>
      <c r="H377" s="1">
        <v>3</v>
      </c>
      <c r="I377" s="1" t="s">
        <v>39</v>
      </c>
      <c r="J377" s="1" t="s">
        <v>29</v>
      </c>
      <c r="K377" s="15">
        <v>825000</v>
      </c>
      <c r="N377" s="29">
        <f t="shared" si="5"/>
        <v>825000</v>
      </c>
    </row>
    <row r="378" spans="1:14" x14ac:dyDescent="0.2">
      <c r="A378" s="2" t="s">
        <v>415</v>
      </c>
      <c r="B378" s="3">
        <v>45824</v>
      </c>
      <c r="C378" s="10" t="s">
        <v>19</v>
      </c>
      <c r="D378" s="10" t="s">
        <v>20</v>
      </c>
      <c r="E378" s="1" t="s">
        <v>47</v>
      </c>
      <c r="F378" s="1" t="s">
        <v>32</v>
      </c>
      <c r="G378">
        <v>250000</v>
      </c>
      <c r="H378" s="1">
        <v>1</v>
      </c>
      <c r="I378" s="1" t="s">
        <v>28</v>
      </c>
      <c r="J378" s="1" t="s">
        <v>37</v>
      </c>
      <c r="K378" s="15">
        <v>250000</v>
      </c>
      <c r="N378" s="29">
        <f t="shared" si="5"/>
        <v>250000</v>
      </c>
    </row>
    <row r="379" spans="1:14" x14ac:dyDescent="0.2">
      <c r="A379" s="2" t="s">
        <v>416</v>
      </c>
      <c r="B379" s="3">
        <v>45680</v>
      </c>
      <c r="C379" s="10" t="s">
        <v>24</v>
      </c>
      <c r="D379" s="10" t="s">
        <v>16</v>
      </c>
      <c r="E379" s="1" t="s">
        <v>31</v>
      </c>
      <c r="F379" s="1" t="s">
        <v>45</v>
      </c>
      <c r="G379">
        <v>240000</v>
      </c>
      <c r="H379" s="1">
        <v>1</v>
      </c>
      <c r="I379" s="1" t="s">
        <v>39</v>
      </c>
      <c r="J379" s="1" t="s">
        <v>37</v>
      </c>
      <c r="K379" s="15">
        <v>240000</v>
      </c>
      <c r="N379" s="29">
        <f t="shared" si="5"/>
        <v>240000</v>
      </c>
    </row>
    <row r="380" spans="1:14" x14ac:dyDescent="0.2">
      <c r="A380" s="2" t="s">
        <v>417</v>
      </c>
      <c r="B380" s="3">
        <v>45718</v>
      </c>
      <c r="C380" s="10" t="s">
        <v>13</v>
      </c>
      <c r="D380" s="10" t="s">
        <v>14</v>
      </c>
      <c r="E380" s="1" t="s">
        <v>47</v>
      </c>
      <c r="F380" s="1" t="s">
        <v>45</v>
      </c>
      <c r="G380">
        <v>275000</v>
      </c>
      <c r="H380" s="1">
        <v>3</v>
      </c>
      <c r="I380" s="1" t="s">
        <v>28</v>
      </c>
      <c r="J380" s="1" t="s">
        <v>37</v>
      </c>
      <c r="K380" s="15">
        <v>825000</v>
      </c>
      <c r="N380" s="29">
        <f t="shared" si="5"/>
        <v>825000</v>
      </c>
    </row>
    <row r="381" spans="1:14" x14ac:dyDescent="0.2">
      <c r="A381" s="2" t="s">
        <v>418</v>
      </c>
      <c r="B381" s="3">
        <v>45817</v>
      </c>
      <c r="C381" s="10" t="s">
        <v>15</v>
      </c>
      <c r="D381" s="10" t="s">
        <v>16</v>
      </c>
      <c r="E381" s="1" t="s">
        <v>26</v>
      </c>
      <c r="F381" s="1" t="s">
        <v>41</v>
      </c>
      <c r="G381">
        <v>225000</v>
      </c>
      <c r="H381" s="1">
        <v>1</v>
      </c>
      <c r="I381" s="1" t="s">
        <v>39</v>
      </c>
      <c r="J381" s="1" t="s">
        <v>29</v>
      </c>
      <c r="K381" s="15">
        <v>225000</v>
      </c>
      <c r="N381" s="29">
        <f t="shared" si="5"/>
        <v>225000</v>
      </c>
    </row>
    <row r="382" spans="1:14" x14ac:dyDescent="0.2">
      <c r="A382" s="2" t="s">
        <v>419</v>
      </c>
      <c r="B382" s="3">
        <v>45675</v>
      </c>
      <c r="C382" s="10" t="s">
        <v>24</v>
      </c>
      <c r="D382" s="10" t="s">
        <v>16</v>
      </c>
      <c r="E382" s="1" t="s">
        <v>47</v>
      </c>
      <c r="F382" s="1" t="s">
        <v>32</v>
      </c>
      <c r="G382">
        <v>240000</v>
      </c>
      <c r="H382" s="1">
        <v>2</v>
      </c>
      <c r="I382" s="1" t="s">
        <v>39</v>
      </c>
      <c r="J382" s="1" t="s">
        <v>37</v>
      </c>
      <c r="K382" s="15">
        <v>480000</v>
      </c>
      <c r="N382" s="29">
        <f t="shared" si="5"/>
        <v>480000</v>
      </c>
    </row>
    <row r="383" spans="1:14" x14ac:dyDescent="0.2">
      <c r="A383" s="2" t="s">
        <v>420</v>
      </c>
      <c r="B383" s="3">
        <v>45682</v>
      </c>
      <c r="C383" s="10" t="s">
        <v>24</v>
      </c>
      <c r="D383" s="10" t="s">
        <v>16</v>
      </c>
      <c r="E383" s="1" t="s">
        <v>36</v>
      </c>
      <c r="F383" s="1" t="s">
        <v>32</v>
      </c>
      <c r="G383">
        <v>240000</v>
      </c>
      <c r="H383" s="1">
        <v>1</v>
      </c>
      <c r="I383" s="1" t="s">
        <v>28</v>
      </c>
      <c r="J383" s="1" t="s">
        <v>37</v>
      </c>
      <c r="K383" s="15">
        <v>240000</v>
      </c>
      <c r="N383" s="29">
        <f t="shared" si="5"/>
        <v>240000</v>
      </c>
    </row>
    <row r="384" spans="1:14" x14ac:dyDescent="0.2">
      <c r="A384" s="2" t="s">
        <v>421</v>
      </c>
      <c r="B384" s="3">
        <v>45739</v>
      </c>
      <c r="C384" s="10" t="s">
        <v>11</v>
      </c>
      <c r="D384" s="10" t="s">
        <v>12</v>
      </c>
      <c r="E384" s="1" t="s">
        <v>47</v>
      </c>
      <c r="F384" s="1" t="s">
        <v>60</v>
      </c>
      <c r="G384">
        <v>350000</v>
      </c>
      <c r="H384" s="1">
        <v>2</v>
      </c>
      <c r="I384" s="1" t="s">
        <v>39</v>
      </c>
      <c r="J384" s="1" t="s">
        <v>37</v>
      </c>
      <c r="K384" s="15">
        <v>700000</v>
      </c>
      <c r="N384" s="29">
        <f t="shared" si="5"/>
        <v>700000</v>
      </c>
    </row>
    <row r="385" spans="1:14" x14ac:dyDescent="0.2">
      <c r="A385" s="2" t="s">
        <v>422</v>
      </c>
      <c r="B385" s="3">
        <v>45719</v>
      </c>
      <c r="C385" s="10" t="s">
        <v>11</v>
      </c>
      <c r="D385" s="10" t="s">
        <v>12</v>
      </c>
      <c r="E385" s="1" t="s">
        <v>47</v>
      </c>
      <c r="F385" s="1" t="s">
        <v>34</v>
      </c>
      <c r="G385">
        <v>350000</v>
      </c>
      <c r="H385" s="1">
        <v>1</v>
      </c>
      <c r="I385" s="1" t="s">
        <v>39</v>
      </c>
      <c r="J385" s="1" t="s">
        <v>29</v>
      </c>
      <c r="K385" s="15">
        <v>350000</v>
      </c>
      <c r="N385" s="29">
        <f t="shared" si="5"/>
        <v>350000</v>
      </c>
    </row>
    <row r="386" spans="1:14" x14ac:dyDescent="0.2">
      <c r="A386" s="2" t="s">
        <v>423</v>
      </c>
      <c r="B386" s="3">
        <v>45757</v>
      </c>
      <c r="C386" s="10" t="s">
        <v>13</v>
      </c>
      <c r="D386" s="10" t="s">
        <v>14</v>
      </c>
      <c r="E386" s="1" t="s">
        <v>47</v>
      </c>
      <c r="F386" s="1" t="s">
        <v>45</v>
      </c>
      <c r="G386">
        <v>275000</v>
      </c>
      <c r="H386" s="1">
        <v>1</v>
      </c>
      <c r="I386" s="1" t="s">
        <v>39</v>
      </c>
      <c r="J386" s="1" t="s">
        <v>37</v>
      </c>
      <c r="K386" s="15">
        <v>275000</v>
      </c>
      <c r="N386" s="29">
        <f t="shared" si="5"/>
        <v>275000</v>
      </c>
    </row>
    <row r="387" spans="1:14" x14ac:dyDescent="0.2">
      <c r="A387" s="2" t="s">
        <v>424</v>
      </c>
      <c r="B387" s="3">
        <v>45724</v>
      </c>
      <c r="C387" s="10" t="s">
        <v>19</v>
      </c>
      <c r="D387" s="10" t="s">
        <v>20</v>
      </c>
      <c r="E387" s="1" t="s">
        <v>26</v>
      </c>
      <c r="F387" s="1" t="s">
        <v>41</v>
      </c>
      <c r="G387">
        <v>250000</v>
      </c>
      <c r="H387" s="1">
        <v>1</v>
      </c>
      <c r="I387" s="1" t="s">
        <v>39</v>
      </c>
      <c r="J387" s="1" t="s">
        <v>29</v>
      </c>
      <c r="K387" s="15">
        <v>250000</v>
      </c>
      <c r="N387" s="29">
        <f t="shared" ref="N387:N450" si="6">G387*H387</f>
        <v>250000</v>
      </c>
    </row>
    <row r="388" spans="1:14" x14ac:dyDescent="0.2">
      <c r="A388" s="2" t="s">
        <v>425</v>
      </c>
      <c r="B388" s="3">
        <v>45725</v>
      </c>
      <c r="C388" s="10" t="s">
        <v>13</v>
      </c>
      <c r="D388" s="10" t="s">
        <v>14</v>
      </c>
      <c r="E388" s="1" t="s">
        <v>36</v>
      </c>
      <c r="F388" s="1" t="s">
        <v>41</v>
      </c>
      <c r="G388">
        <v>275000</v>
      </c>
      <c r="H388" s="1">
        <v>1</v>
      </c>
      <c r="I388" s="1" t="s">
        <v>28</v>
      </c>
      <c r="J388" s="1" t="s">
        <v>37</v>
      </c>
      <c r="K388" s="15">
        <v>275000</v>
      </c>
      <c r="N388" s="29">
        <f t="shared" si="6"/>
        <v>275000</v>
      </c>
    </row>
    <row r="389" spans="1:14" x14ac:dyDescent="0.2">
      <c r="A389" s="2" t="s">
        <v>426</v>
      </c>
      <c r="B389" s="3">
        <v>45803</v>
      </c>
      <c r="C389" s="10" t="s">
        <v>24</v>
      </c>
      <c r="D389" s="10" t="s">
        <v>16</v>
      </c>
      <c r="E389" s="1" t="s">
        <v>36</v>
      </c>
      <c r="F389" s="1" t="s">
        <v>32</v>
      </c>
      <c r="G389">
        <v>240000</v>
      </c>
      <c r="H389" s="1">
        <v>2</v>
      </c>
      <c r="I389" s="1" t="s">
        <v>28</v>
      </c>
      <c r="J389" s="1" t="s">
        <v>29</v>
      </c>
      <c r="K389" s="15">
        <v>480000</v>
      </c>
      <c r="N389" s="29">
        <f t="shared" si="6"/>
        <v>480000</v>
      </c>
    </row>
    <row r="390" spans="1:14" x14ac:dyDescent="0.2">
      <c r="A390" s="2" t="s">
        <v>427</v>
      </c>
      <c r="B390" s="3">
        <v>45785</v>
      </c>
      <c r="C390" s="10" t="s">
        <v>15</v>
      </c>
      <c r="D390" s="10" t="s">
        <v>16</v>
      </c>
      <c r="E390" s="1" t="s">
        <v>31</v>
      </c>
      <c r="F390" s="1" t="s">
        <v>41</v>
      </c>
      <c r="G390">
        <v>225000</v>
      </c>
      <c r="H390" s="1">
        <v>1</v>
      </c>
      <c r="I390" s="1" t="s">
        <v>28</v>
      </c>
      <c r="J390" s="1" t="s">
        <v>29</v>
      </c>
      <c r="K390" s="15">
        <v>225000</v>
      </c>
      <c r="N390" s="29">
        <f t="shared" si="6"/>
        <v>225000</v>
      </c>
    </row>
    <row r="391" spans="1:14" x14ac:dyDescent="0.2">
      <c r="A391" s="2" t="s">
        <v>428</v>
      </c>
      <c r="B391" s="3">
        <v>45674</v>
      </c>
      <c r="C391" s="10" t="s">
        <v>19</v>
      </c>
      <c r="D391" s="10" t="s">
        <v>20</v>
      </c>
      <c r="E391" s="1" t="s">
        <v>47</v>
      </c>
      <c r="F391" s="1" t="s">
        <v>32</v>
      </c>
      <c r="G391">
        <v>250000</v>
      </c>
      <c r="H391" s="1">
        <v>2</v>
      </c>
      <c r="I391" s="1" t="s">
        <v>28</v>
      </c>
      <c r="J391" s="1" t="s">
        <v>37</v>
      </c>
      <c r="K391" s="15">
        <v>500000</v>
      </c>
      <c r="N391" s="29">
        <f t="shared" si="6"/>
        <v>500000</v>
      </c>
    </row>
    <row r="392" spans="1:14" x14ac:dyDescent="0.2">
      <c r="A392" s="2" t="s">
        <v>429</v>
      </c>
      <c r="B392" s="3">
        <v>45800</v>
      </c>
      <c r="C392" s="10" t="s">
        <v>19</v>
      </c>
      <c r="D392" s="10" t="s">
        <v>20</v>
      </c>
      <c r="E392" s="1" t="s">
        <v>26</v>
      </c>
      <c r="F392" s="1" t="s">
        <v>34</v>
      </c>
      <c r="G392">
        <v>250000</v>
      </c>
      <c r="H392" s="1">
        <v>1</v>
      </c>
      <c r="I392" s="1" t="s">
        <v>28</v>
      </c>
      <c r="J392" s="1" t="s">
        <v>29</v>
      </c>
      <c r="K392" s="15">
        <v>250000</v>
      </c>
      <c r="N392" s="29">
        <f t="shared" si="6"/>
        <v>250000</v>
      </c>
    </row>
    <row r="393" spans="1:14" x14ac:dyDescent="0.2">
      <c r="A393" s="2" t="s">
        <v>430</v>
      </c>
      <c r="B393" s="3">
        <v>45796</v>
      </c>
      <c r="C393" s="10" t="s">
        <v>17</v>
      </c>
      <c r="D393" s="10" t="s">
        <v>18</v>
      </c>
      <c r="E393" s="1" t="s">
        <v>47</v>
      </c>
      <c r="F393" s="1" t="s">
        <v>27</v>
      </c>
      <c r="G393">
        <v>300000</v>
      </c>
      <c r="H393" s="1">
        <v>2</v>
      </c>
      <c r="I393" s="1" t="s">
        <v>28</v>
      </c>
      <c r="J393" s="1" t="s">
        <v>37</v>
      </c>
      <c r="K393" s="15">
        <v>600000</v>
      </c>
      <c r="N393" s="29">
        <f t="shared" si="6"/>
        <v>600000</v>
      </c>
    </row>
    <row r="394" spans="1:14" x14ac:dyDescent="0.2">
      <c r="A394" s="2" t="s">
        <v>431</v>
      </c>
      <c r="B394" s="3">
        <v>45677</v>
      </c>
      <c r="C394" s="10" t="s">
        <v>19</v>
      </c>
      <c r="D394" s="10" t="s">
        <v>20</v>
      </c>
      <c r="E394" s="1" t="s">
        <v>47</v>
      </c>
      <c r="F394" s="1" t="s">
        <v>27</v>
      </c>
      <c r="G394">
        <v>250000</v>
      </c>
      <c r="H394" s="1">
        <v>1</v>
      </c>
      <c r="I394" s="1" t="s">
        <v>28</v>
      </c>
      <c r="J394" s="1" t="s">
        <v>37</v>
      </c>
      <c r="K394" s="15">
        <v>250000</v>
      </c>
      <c r="N394" s="29">
        <f t="shared" si="6"/>
        <v>250000</v>
      </c>
    </row>
    <row r="395" spans="1:14" x14ac:dyDescent="0.2">
      <c r="A395" s="2" t="s">
        <v>432</v>
      </c>
      <c r="B395" s="3">
        <v>45689</v>
      </c>
      <c r="C395" s="10" t="s">
        <v>23</v>
      </c>
      <c r="D395" s="10" t="s">
        <v>12</v>
      </c>
      <c r="E395" s="1" t="s">
        <v>31</v>
      </c>
      <c r="F395" s="1" t="s">
        <v>45</v>
      </c>
      <c r="G395">
        <v>375000</v>
      </c>
      <c r="H395" s="1">
        <v>3</v>
      </c>
      <c r="I395" s="1" t="s">
        <v>28</v>
      </c>
      <c r="J395" s="1" t="s">
        <v>29</v>
      </c>
      <c r="K395" s="15">
        <v>1125000</v>
      </c>
      <c r="N395" s="29">
        <f t="shared" si="6"/>
        <v>1125000</v>
      </c>
    </row>
    <row r="396" spans="1:14" x14ac:dyDescent="0.2">
      <c r="A396" s="2" t="s">
        <v>433</v>
      </c>
      <c r="B396" s="3">
        <v>45672</v>
      </c>
      <c r="C396" s="10" t="s">
        <v>11</v>
      </c>
      <c r="D396" s="10" t="s">
        <v>12</v>
      </c>
      <c r="E396" s="1" t="s">
        <v>36</v>
      </c>
      <c r="F396" s="1" t="s">
        <v>32</v>
      </c>
      <c r="G396">
        <v>350000</v>
      </c>
      <c r="H396" s="1">
        <v>3</v>
      </c>
      <c r="I396" s="1" t="s">
        <v>39</v>
      </c>
      <c r="J396" s="1" t="s">
        <v>37</v>
      </c>
      <c r="K396" s="15">
        <v>1050000</v>
      </c>
      <c r="N396" s="29">
        <f t="shared" si="6"/>
        <v>1050000</v>
      </c>
    </row>
    <row r="397" spans="1:14" x14ac:dyDescent="0.2">
      <c r="A397" s="2" t="s">
        <v>434</v>
      </c>
      <c r="B397" s="3">
        <v>45662</v>
      </c>
      <c r="C397" s="10" t="s">
        <v>21</v>
      </c>
      <c r="D397" s="10" t="s">
        <v>22</v>
      </c>
      <c r="E397" s="1" t="s">
        <v>26</v>
      </c>
      <c r="F397" s="1" t="s">
        <v>60</v>
      </c>
      <c r="G397">
        <v>75000</v>
      </c>
      <c r="H397" s="1">
        <v>1</v>
      </c>
      <c r="I397" s="1" t="s">
        <v>39</v>
      </c>
      <c r="J397" s="1" t="s">
        <v>37</v>
      </c>
      <c r="K397" s="15">
        <v>75000</v>
      </c>
      <c r="N397" s="29">
        <f t="shared" si="6"/>
        <v>75000</v>
      </c>
    </row>
    <row r="398" spans="1:14" x14ac:dyDescent="0.2">
      <c r="A398" s="2" t="s">
        <v>435</v>
      </c>
      <c r="B398" s="3">
        <v>45809</v>
      </c>
      <c r="C398" s="10" t="s">
        <v>17</v>
      </c>
      <c r="D398" s="10" t="s">
        <v>18</v>
      </c>
      <c r="E398" s="1" t="s">
        <v>47</v>
      </c>
      <c r="F398" s="1" t="s">
        <v>27</v>
      </c>
      <c r="G398">
        <v>300000</v>
      </c>
      <c r="H398" s="1">
        <v>1</v>
      </c>
      <c r="I398" s="1" t="s">
        <v>39</v>
      </c>
      <c r="J398" s="1" t="s">
        <v>37</v>
      </c>
      <c r="K398" s="15">
        <v>300000</v>
      </c>
      <c r="N398" s="29">
        <f t="shared" si="6"/>
        <v>300000</v>
      </c>
    </row>
    <row r="399" spans="1:14" x14ac:dyDescent="0.2">
      <c r="A399" s="2" t="s">
        <v>436</v>
      </c>
      <c r="B399" s="3">
        <v>45832</v>
      </c>
      <c r="C399" s="10" t="s">
        <v>15</v>
      </c>
      <c r="D399" s="10" t="s">
        <v>16</v>
      </c>
      <c r="E399" s="1" t="s">
        <v>26</v>
      </c>
      <c r="F399" s="1" t="s">
        <v>41</v>
      </c>
      <c r="G399">
        <v>225000</v>
      </c>
      <c r="H399" s="1">
        <v>1</v>
      </c>
      <c r="I399" s="1" t="s">
        <v>39</v>
      </c>
      <c r="J399" s="1" t="s">
        <v>37</v>
      </c>
      <c r="K399" s="15">
        <v>225000</v>
      </c>
      <c r="N399" s="29">
        <f t="shared" si="6"/>
        <v>225000</v>
      </c>
    </row>
    <row r="400" spans="1:14" x14ac:dyDescent="0.2">
      <c r="A400" s="2" t="s">
        <v>437</v>
      </c>
      <c r="B400" s="3">
        <v>45662</v>
      </c>
      <c r="C400" s="10" t="s">
        <v>24</v>
      </c>
      <c r="D400" s="10" t="s">
        <v>16</v>
      </c>
      <c r="E400" s="1" t="s">
        <v>36</v>
      </c>
      <c r="F400" s="1" t="s">
        <v>27</v>
      </c>
      <c r="G400">
        <v>240000</v>
      </c>
      <c r="H400" s="1">
        <v>2</v>
      </c>
      <c r="I400" s="1" t="s">
        <v>39</v>
      </c>
      <c r="J400" s="1" t="s">
        <v>29</v>
      </c>
      <c r="K400" s="15">
        <v>480000</v>
      </c>
      <c r="N400" s="29">
        <f t="shared" si="6"/>
        <v>480000</v>
      </c>
    </row>
    <row r="401" spans="1:14" x14ac:dyDescent="0.2">
      <c r="A401" s="2" t="s">
        <v>438</v>
      </c>
      <c r="B401" s="3">
        <v>45701</v>
      </c>
      <c r="C401" s="10" t="s">
        <v>19</v>
      </c>
      <c r="D401" s="10" t="s">
        <v>20</v>
      </c>
      <c r="E401" s="1" t="s">
        <v>26</v>
      </c>
      <c r="F401" s="1" t="s">
        <v>27</v>
      </c>
      <c r="G401">
        <v>250000</v>
      </c>
      <c r="H401" s="1">
        <v>1</v>
      </c>
      <c r="I401" s="1" t="s">
        <v>39</v>
      </c>
      <c r="J401" s="1" t="s">
        <v>37</v>
      </c>
      <c r="K401" s="15">
        <v>250000</v>
      </c>
      <c r="N401" s="29">
        <f t="shared" si="6"/>
        <v>250000</v>
      </c>
    </row>
    <row r="402" spans="1:14" x14ac:dyDescent="0.2">
      <c r="A402" s="2" t="s">
        <v>439</v>
      </c>
      <c r="B402" s="3">
        <v>45703</v>
      </c>
      <c r="C402" s="10" t="s">
        <v>19</v>
      </c>
      <c r="D402" s="10" t="s">
        <v>20</v>
      </c>
      <c r="E402" s="1" t="s">
        <v>47</v>
      </c>
      <c r="F402" s="1" t="s">
        <v>32</v>
      </c>
      <c r="G402">
        <v>250000</v>
      </c>
      <c r="H402" s="1">
        <v>1</v>
      </c>
      <c r="I402" s="1" t="s">
        <v>28</v>
      </c>
      <c r="J402" s="1" t="s">
        <v>37</v>
      </c>
      <c r="K402" s="15">
        <v>250000</v>
      </c>
      <c r="N402" s="29">
        <f t="shared" si="6"/>
        <v>250000</v>
      </c>
    </row>
    <row r="403" spans="1:14" x14ac:dyDescent="0.2">
      <c r="A403" s="2" t="s">
        <v>440</v>
      </c>
      <c r="B403" s="3">
        <v>45836</v>
      </c>
      <c r="C403" s="10" t="s">
        <v>17</v>
      </c>
      <c r="D403" s="10" t="s">
        <v>18</v>
      </c>
      <c r="E403" s="1" t="s">
        <v>31</v>
      </c>
      <c r="F403" s="1" t="s">
        <v>27</v>
      </c>
      <c r="G403">
        <v>300000</v>
      </c>
      <c r="H403" s="1">
        <v>1</v>
      </c>
      <c r="I403" s="1" t="s">
        <v>39</v>
      </c>
      <c r="J403" s="1" t="s">
        <v>29</v>
      </c>
      <c r="K403" s="15">
        <v>300000</v>
      </c>
      <c r="N403" s="29">
        <f t="shared" si="6"/>
        <v>300000</v>
      </c>
    </row>
    <row r="404" spans="1:14" x14ac:dyDescent="0.2">
      <c r="A404" s="2" t="s">
        <v>441</v>
      </c>
      <c r="B404" s="3">
        <v>45735</v>
      </c>
      <c r="C404" s="10" t="s">
        <v>17</v>
      </c>
      <c r="D404" s="10" t="s">
        <v>18</v>
      </c>
      <c r="E404" s="1" t="s">
        <v>31</v>
      </c>
      <c r="F404" s="1" t="s">
        <v>60</v>
      </c>
      <c r="G404">
        <v>300000</v>
      </c>
      <c r="H404" s="1">
        <v>2</v>
      </c>
      <c r="I404" s="1" t="s">
        <v>39</v>
      </c>
      <c r="J404" s="1" t="s">
        <v>29</v>
      </c>
      <c r="K404" s="15">
        <v>600000</v>
      </c>
      <c r="N404" s="29">
        <f t="shared" si="6"/>
        <v>600000</v>
      </c>
    </row>
    <row r="405" spans="1:14" x14ac:dyDescent="0.2">
      <c r="A405" s="2" t="s">
        <v>442</v>
      </c>
      <c r="B405" s="3">
        <v>45780</v>
      </c>
      <c r="C405" s="10" t="s">
        <v>21</v>
      </c>
      <c r="D405" s="10" t="s">
        <v>22</v>
      </c>
      <c r="E405" s="1" t="s">
        <v>26</v>
      </c>
      <c r="F405" s="1" t="s">
        <v>32</v>
      </c>
      <c r="G405">
        <v>75000</v>
      </c>
      <c r="H405" s="1">
        <v>3</v>
      </c>
      <c r="I405" s="1" t="s">
        <v>28</v>
      </c>
      <c r="J405" s="1" t="s">
        <v>37</v>
      </c>
      <c r="K405" s="15">
        <v>225000</v>
      </c>
      <c r="N405" s="29">
        <f t="shared" si="6"/>
        <v>225000</v>
      </c>
    </row>
    <row r="406" spans="1:14" x14ac:dyDescent="0.2">
      <c r="A406" s="2" t="s">
        <v>443</v>
      </c>
      <c r="B406" s="3">
        <v>45832</v>
      </c>
      <c r="C406" s="10" t="s">
        <v>21</v>
      </c>
      <c r="D406" s="10" t="s">
        <v>22</v>
      </c>
      <c r="E406" s="1" t="s">
        <v>36</v>
      </c>
      <c r="F406" s="1" t="s">
        <v>60</v>
      </c>
      <c r="G406">
        <v>75000</v>
      </c>
      <c r="H406" s="1">
        <v>2</v>
      </c>
      <c r="I406" s="1" t="s">
        <v>39</v>
      </c>
      <c r="J406" s="1" t="s">
        <v>37</v>
      </c>
      <c r="K406" s="15">
        <v>150000</v>
      </c>
      <c r="N406" s="29">
        <f t="shared" si="6"/>
        <v>150000</v>
      </c>
    </row>
    <row r="407" spans="1:14" x14ac:dyDescent="0.2">
      <c r="A407" s="2" t="s">
        <v>444</v>
      </c>
      <c r="B407" s="3">
        <v>45740</v>
      </c>
      <c r="C407" s="10" t="s">
        <v>13</v>
      </c>
      <c r="D407" s="10" t="s">
        <v>14</v>
      </c>
      <c r="E407" s="1" t="s">
        <v>26</v>
      </c>
      <c r="F407" s="1" t="s">
        <v>41</v>
      </c>
      <c r="G407">
        <v>275000</v>
      </c>
      <c r="H407" s="1">
        <v>3</v>
      </c>
      <c r="I407" s="1" t="s">
        <v>28</v>
      </c>
      <c r="J407" s="1" t="s">
        <v>29</v>
      </c>
      <c r="K407" s="15">
        <v>825000</v>
      </c>
      <c r="N407" s="29">
        <f t="shared" si="6"/>
        <v>825000</v>
      </c>
    </row>
    <row r="408" spans="1:14" x14ac:dyDescent="0.2">
      <c r="A408" s="2" t="s">
        <v>445</v>
      </c>
      <c r="B408" s="3">
        <v>45735</v>
      </c>
      <c r="C408" s="10" t="s">
        <v>11</v>
      </c>
      <c r="D408" s="10" t="s">
        <v>12</v>
      </c>
      <c r="E408" s="1" t="s">
        <v>36</v>
      </c>
      <c r="F408" s="1" t="s">
        <v>41</v>
      </c>
      <c r="G408">
        <v>350000</v>
      </c>
      <c r="H408" s="1">
        <v>2</v>
      </c>
      <c r="I408" s="1" t="s">
        <v>39</v>
      </c>
      <c r="J408" s="1" t="s">
        <v>37</v>
      </c>
      <c r="K408" s="15">
        <v>700000</v>
      </c>
      <c r="N408" s="29">
        <f t="shared" si="6"/>
        <v>700000</v>
      </c>
    </row>
    <row r="409" spans="1:14" x14ac:dyDescent="0.2">
      <c r="A409" s="2" t="s">
        <v>446</v>
      </c>
      <c r="B409" s="3">
        <v>45659</v>
      </c>
      <c r="C409" s="10" t="s">
        <v>11</v>
      </c>
      <c r="D409" s="10" t="s">
        <v>12</v>
      </c>
      <c r="E409" s="1" t="s">
        <v>31</v>
      </c>
      <c r="F409" s="1" t="s">
        <v>60</v>
      </c>
      <c r="G409">
        <v>350000</v>
      </c>
      <c r="H409" s="1">
        <v>1</v>
      </c>
      <c r="I409" s="1" t="s">
        <v>28</v>
      </c>
      <c r="J409" s="1" t="s">
        <v>37</v>
      </c>
      <c r="K409" s="15">
        <v>350000</v>
      </c>
      <c r="N409" s="29">
        <f t="shared" si="6"/>
        <v>350000</v>
      </c>
    </row>
    <row r="410" spans="1:14" x14ac:dyDescent="0.2">
      <c r="A410" s="2" t="s">
        <v>447</v>
      </c>
      <c r="B410" s="3">
        <v>45687</v>
      </c>
      <c r="C410" s="10" t="s">
        <v>11</v>
      </c>
      <c r="D410" s="10" t="s">
        <v>12</v>
      </c>
      <c r="E410" s="1" t="s">
        <v>26</v>
      </c>
      <c r="F410" s="1" t="s">
        <v>60</v>
      </c>
      <c r="G410">
        <v>350000</v>
      </c>
      <c r="H410" s="1">
        <v>3</v>
      </c>
      <c r="I410" s="1" t="s">
        <v>28</v>
      </c>
      <c r="J410" s="1" t="s">
        <v>37</v>
      </c>
      <c r="K410" s="15">
        <v>1050000</v>
      </c>
      <c r="N410" s="29">
        <f t="shared" si="6"/>
        <v>1050000</v>
      </c>
    </row>
    <row r="411" spans="1:14" x14ac:dyDescent="0.2">
      <c r="A411" s="2" t="s">
        <v>448</v>
      </c>
      <c r="B411" s="3">
        <v>45667</v>
      </c>
      <c r="C411" s="10" t="s">
        <v>13</v>
      </c>
      <c r="D411" s="10" t="s">
        <v>14</v>
      </c>
      <c r="E411" s="1" t="s">
        <v>31</v>
      </c>
      <c r="F411" s="1" t="s">
        <v>34</v>
      </c>
      <c r="G411">
        <v>275000</v>
      </c>
      <c r="H411" s="1">
        <v>2</v>
      </c>
      <c r="I411" s="1" t="s">
        <v>39</v>
      </c>
      <c r="J411" s="1" t="s">
        <v>37</v>
      </c>
      <c r="K411" s="15">
        <v>550000</v>
      </c>
      <c r="N411" s="29">
        <f t="shared" si="6"/>
        <v>550000</v>
      </c>
    </row>
    <row r="412" spans="1:14" x14ac:dyDescent="0.2">
      <c r="A412" s="2" t="s">
        <v>449</v>
      </c>
      <c r="B412" s="3">
        <v>45710</v>
      </c>
      <c r="C412" s="10" t="s">
        <v>19</v>
      </c>
      <c r="D412" s="10" t="s">
        <v>20</v>
      </c>
      <c r="E412" s="1" t="s">
        <v>36</v>
      </c>
      <c r="F412" s="1" t="s">
        <v>34</v>
      </c>
      <c r="G412">
        <v>250000</v>
      </c>
      <c r="H412" s="1">
        <v>1</v>
      </c>
      <c r="I412" s="1" t="s">
        <v>39</v>
      </c>
      <c r="J412" s="1" t="s">
        <v>37</v>
      </c>
      <c r="K412" s="15">
        <v>250000</v>
      </c>
      <c r="N412" s="29">
        <f t="shared" si="6"/>
        <v>250000</v>
      </c>
    </row>
    <row r="413" spans="1:14" x14ac:dyDescent="0.2">
      <c r="A413" s="2" t="s">
        <v>450</v>
      </c>
      <c r="B413" s="3">
        <v>45771</v>
      </c>
      <c r="C413" s="10" t="s">
        <v>23</v>
      </c>
      <c r="D413" s="10" t="s">
        <v>12</v>
      </c>
      <c r="E413" s="1" t="s">
        <v>36</v>
      </c>
      <c r="F413" s="1" t="s">
        <v>32</v>
      </c>
      <c r="G413">
        <v>375000</v>
      </c>
      <c r="H413" s="1">
        <v>2</v>
      </c>
      <c r="I413" s="1" t="s">
        <v>39</v>
      </c>
      <c r="J413" s="1" t="s">
        <v>29</v>
      </c>
      <c r="K413" s="15">
        <v>750000</v>
      </c>
      <c r="N413" s="29">
        <f t="shared" si="6"/>
        <v>750000</v>
      </c>
    </row>
    <row r="414" spans="1:14" x14ac:dyDescent="0.2">
      <c r="A414" s="2" t="s">
        <v>451</v>
      </c>
      <c r="B414" s="3">
        <v>45811</v>
      </c>
      <c r="C414" s="10" t="s">
        <v>11</v>
      </c>
      <c r="D414" s="10" t="s">
        <v>12</v>
      </c>
      <c r="E414" s="1" t="s">
        <v>31</v>
      </c>
      <c r="F414" s="1" t="s">
        <v>27</v>
      </c>
      <c r="G414">
        <v>350000</v>
      </c>
      <c r="H414" s="1">
        <v>2</v>
      </c>
      <c r="I414" s="1" t="s">
        <v>28</v>
      </c>
      <c r="J414" s="1" t="s">
        <v>29</v>
      </c>
      <c r="K414" s="15">
        <v>700000</v>
      </c>
      <c r="N414" s="29">
        <f t="shared" si="6"/>
        <v>700000</v>
      </c>
    </row>
    <row r="415" spans="1:14" x14ac:dyDescent="0.2">
      <c r="A415" s="2" t="s">
        <v>452</v>
      </c>
      <c r="B415" s="3">
        <v>45832</v>
      </c>
      <c r="C415" s="10" t="s">
        <v>21</v>
      </c>
      <c r="D415" s="10" t="s">
        <v>22</v>
      </c>
      <c r="E415" s="1" t="s">
        <v>31</v>
      </c>
      <c r="F415" s="1" t="s">
        <v>45</v>
      </c>
      <c r="G415">
        <v>75000</v>
      </c>
      <c r="H415" s="1">
        <v>1</v>
      </c>
      <c r="I415" s="1" t="s">
        <v>39</v>
      </c>
      <c r="J415" s="1" t="s">
        <v>37</v>
      </c>
      <c r="K415" s="15">
        <v>75000</v>
      </c>
      <c r="N415" s="29">
        <f t="shared" si="6"/>
        <v>75000</v>
      </c>
    </row>
    <row r="416" spans="1:14" x14ac:dyDescent="0.2">
      <c r="A416" s="2" t="s">
        <v>453</v>
      </c>
      <c r="B416" s="3">
        <v>45835</v>
      </c>
      <c r="C416" s="10" t="s">
        <v>24</v>
      </c>
      <c r="D416" s="10" t="s">
        <v>16</v>
      </c>
      <c r="E416" s="1" t="s">
        <v>47</v>
      </c>
      <c r="F416" s="1" t="s">
        <v>45</v>
      </c>
      <c r="G416">
        <v>240000</v>
      </c>
      <c r="H416" s="1">
        <v>2</v>
      </c>
      <c r="I416" s="1" t="s">
        <v>39</v>
      </c>
      <c r="J416" s="1" t="s">
        <v>37</v>
      </c>
      <c r="K416" s="15">
        <v>480000</v>
      </c>
      <c r="N416" s="29">
        <f t="shared" si="6"/>
        <v>480000</v>
      </c>
    </row>
    <row r="417" spans="1:14" x14ac:dyDescent="0.2">
      <c r="A417" s="2" t="s">
        <v>454</v>
      </c>
      <c r="B417" s="3">
        <v>45800</v>
      </c>
      <c r="C417" s="10" t="s">
        <v>23</v>
      </c>
      <c r="D417" s="10" t="s">
        <v>12</v>
      </c>
      <c r="E417" s="1" t="s">
        <v>36</v>
      </c>
      <c r="F417" s="1" t="s">
        <v>32</v>
      </c>
      <c r="G417">
        <v>375000</v>
      </c>
      <c r="H417" s="1">
        <v>2</v>
      </c>
      <c r="I417" s="1" t="s">
        <v>28</v>
      </c>
      <c r="J417" s="1" t="s">
        <v>29</v>
      </c>
      <c r="K417" s="15">
        <v>750000</v>
      </c>
      <c r="N417" s="29">
        <f t="shared" si="6"/>
        <v>750000</v>
      </c>
    </row>
    <row r="418" spans="1:14" x14ac:dyDescent="0.2">
      <c r="A418" s="2" t="s">
        <v>455</v>
      </c>
      <c r="B418" s="3">
        <v>45794</v>
      </c>
      <c r="C418" s="10" t="s">
        <v>15</v>
      </c>
      <c r="D418" s="10" t="s">
        <v>16</v>
      </c>
      <c r="E418" s="1" t="s">
        <v>47</v>
      </c>
      <c r="F418" s="1" t="s">
        <v>41</v>
      </c>
      <c r="G418">
        <v>225000</v>
      </c>
      <c r="H418" s="1">
        <v>3</v>
      </c>
      <c r="I418" s="1" t="s">
        <v>28</v>
      </c>
      <c r="J418" s="1" t="s">
        <v>29</v>
      </c>
      <c r="K418" s="15">
        <v>675000</v>
      </c>
      <c r="N418" s="29">
        <f t="shared" si="6"/>
        <v>675000</v>
      </c>
    </row>
    <row r="419" spans="1:14" x14ac:dyDescent="0.2">
      <c r="A419" s="2" t="s">
        <v>456</v>
      </c>
      <c r="B419" s="3">
        <v>45723</v>
      </c>
      <c r="C419" s="10" t="s">
        <v>21</v>
      </c>
      <c r="D419" s="10" t="s">
        <v>22</v>
      </c>
      <c r="E419" s="1" t="s">
        <v>47</v>
      </c>
      <c r="F419" s="1" t="s">
        <v>45</v>
      </c>
      <c r="G419">
        <v>75000</v>
      </c>
      <c r="H419" s="1">
        <v>2</v>
      </c>
      <c r="I419" s="1" t="s">
        <v>39</v>
      </c>
      <c r="J419" s="1" t="s">
        <v>29</v>
      </c>
      <c r="K419" s="15">
        <v>150000</v>
      </c>
      <c r="N419" s="29">
        <f t="shared" si="6"/>
        <v>150000</v>
      </c>
    </row>
    <row r="420" spans="1:14" x14ac:dyDescent="0.2">
      <c r="A420" s="2" t="s">
        <v>457</v>
      </c>
      <c r="B420" s="3">
        <v>45706</v>
      </c>
      <c r="C420" s="10" t="s">
        <v>23</v>
      </c>
      <c r="D420" s="10" t="s">
        <v>12</v>
      </c>
      <c r="E420" s="1" t="s">
        <v>36</v>
      </c>
      <c r="F420" s="1" t="s">
        <v>41</v>
      </c>
      <c r="G420">
        <v>375000</v>
      </c>
      <c r="H420" s="1">
        <v>3</v>
      </c>
      <c r="I420" s="1" t="s">
        <v>28</v>
      </c>
      <c r="J420" s="1" t="s">
        <v>37</v>
      </c>
      <c r="K420" s="15">
        <v>1125000</v>
      </c>
      <c r="N420" s="29">
        <f t="shared" si="6"/>
        <v>1125000</v>
      </c>
    </row>
    <row r="421" spans="1:14" x14ac:dyDescent="0.2">
      <c r="A421" s="2" t="s">
        <v>458</v>
      </c>
      <c r="B421" s="3">
        <v>45761</v>
      </c>
      <c r="C421" s="10" t="s">
        <v>17</v>
      </c>
      <c r="D421" s="10" t="s">
        <v>18</v>
      </c>
      <c r="E421" s="1" t="s">
        <v>47</v>
      </c>
      <c r="F421" s="1" t="s">
        <v>45</v>
      </c>
      <c r="G421">
        <v>300000</v>
      </c>
      <c r="H421" s="1">
        <v>3</v>
      </c>
      <c r="I421" s="1" t="s">
        <v>39</v>
      </c>
      <c r="J421" s="1" t="s">
        <v>29</v>
      </c>
      <c r="K421" s="15">
        <v>900000</v>
      </c>
      <c r="N421" s="29">
        <f t="shared" si="6"/>
        <v>900000</v>
      </c>
    </row>
    <row r="422" spans="1:14" x14ac:dyDescent="0.2">
      <c r="A422" s="2" t="s">
        <v>459</v>
      </c>
      <c r="B422" s="3">
        <v>45709</v>
      </c>
      <c r="C422" s="10" t="s">
        <v>23</v>
      </c>
      <c r="D422" s="10" t="s">
        <v>12</v>
      </c>
      <c r="E422" s="1" t="s">
        <v>31</v>
      </c>
      <c r="F422" s="1" t="s">
        <v>27</v>
      </c>
      <c r="G422">
        <v>375000</v>
      </c>
      <c r="H422" s="1">
        <v>2</v>
      </c>
      <c r="I422" s="1" t="s">
        <v>39</v>
      </c>
      <c r="J422" s="1" t="s">
        <v>37</v>
      </c>
      <c r="K422" s="15">
        <v>750000</v>
      </c>
      <c r="N422" s="29">
        <f t="shared" si="6"/>
        <v>750000</v>
      </c>
    </row>
    <row r="423" spans="1:14" x14ac:dyDescent="0.2">
      <c r="A423" s="2" t="s">
        <v>460</v>
      </c>
      <c r="B423" s="3">
        <v>45714</v>
      </c>
      <c r="C423" s="10" t="s">
        <v>23</v>
      </c>
      <c r="D423" s="10" t="s">
        <v>12</v>
      </c>
      <c r="E423" s="1" t="s">
        <v>36</v>
      </c>
      <c r="F423" s="1" t="s">
        <v>34</v>
      </c>
      <c r="G423">
        <v>375000</v>
      </c>
      <c r="H423" s="1">
        <v>1</v>
      </c>
      <c r="I423" s="1" t="s">
        <v>39</v>
      </c>
      <c r="J423" s="1" t="s">
        <v>37</v>
      </c>
      <c r="K423" s="15">
        <v>375000</v>
      </c>
      <c r="N423" s="29">
        <f t="shared" si="6"/>
        <v>375000</v>
      </c>
    </row>
    <row r="424" spans="1:14" x14ac:dyDescent="0.2">
      <c r="A424" s="2" t="s">
        <v>461</v>
      </c>
      <c r="B424" s="3">
        <v>45821</v>
      </c>
      <c r="C424" s="10" t="s">
        <v>23</v>
      </c>
      <c r="D424" s="10" t="s">
        <v>12</v>
      </c>
      <c r="E424" s="1" t="s">
        <v>47</v>
      </c>
      <c r="F424" s="1" t="s">
        <v>34</v>
      </c>
      <c r="G424">
        <v>375000</v>
      </c>
      <c r="H424" s="1">
        <v>2</v>
      </c>
      <c r="I424" s="1" t="s">
        <v>39</v>
      </c>
      <c r="J424" s="1" t="s">
        <v>29</v>
      </c>
      <c r="K424" s="15">
        <v>750000</v>
      </c>
      <c r="N424" s="29">
        <f t="shared" si="6"/>
        <v>750000</v>
      </c>
    </row>
    <row r="425" spans="1:14" x14ac:dyDescent="0.2">
      <c r="A425" s="2" t="s">
        <v>462</v>
      </c>
      <c r="B425" s="3">
        <v>45700</v>
      </c>
      <c r="C425" s="10" t="s">
        <v>19</v>
      </c>
      <c r="D425" s="10" t="s">
        <v>20</v>
      </c>
      <c r="E425" s="1" t="s">
        <v>47</v>
      </c>
      <c r="F425" s="1" t="s">
        <v>41</v>
      </c>
      <c r="G425">
        <v>250000</v>
      </c>
      <c r="H425" s="1">
        <v>1</v>
      </c>
      <c r="I425" s="1" t="s">
        <v>28</v>
      </c>
      <c r="J425" s="1" t="s">
        <v>29</v>
      </c>
      <c r="K425" s="15">
        <v>250000</v>
      </c>
      <c r="N425" s="29">
        <f t="shared" si="6"/>
        <v>250000</v>
      </c>
    </row>
    <row r="426" spans="1:14" x14ac:dyDescent="0.2">
      <c r="A426" s="2" t="s">
        <v>463</v>
      </c>
      <c r="B426" s="3">
        <v>45717</v>
      </c>
      <c r="C426" s="10" t="s">
        <v>13</v>
      </c>
      <c r="D426" s="10" t="s">
        <v>14</v>
      </c>
      <c r="E426" s="1" t="s">
        <v>36</v>
      </c>
      <c r="F426" s="1" t="s">
        <v>45</v>
      </c>
      <c r="G426">
        <v>275000</v>
      </c>
      <c r="H426" s="1">
        <v>1</v>
      </c>
      <c r="I426" s="1" t="s">
        <v>39</v>
      </c>
      <c r="J426" s="1" t="s">
        <v>29</v>
      </c>
      <c r="K426" s="15">
        <v>275000</v>
      </c>
      <c r="N426" s="29">
        <f t="shared" si="6"/>
        <v>275000</v>
      </c>
    </row>
    <row r="427" spans="1:14" x14ac:dyDescent="0.2">
      <c r="A427" s="2" t="s">
        <v>464</v>
      </c>
      <c r="B427" s="3">
        <v>45794</v>
      </c>
      <c r="C427" s="10" t="s">
        <v>17</v>
      </c>
      <c r="D427" s="10" t="s">
        <v>18</v>
      </c>
      <c r="E427" s="1" t="s">
        <v>36</v>
      </c>
      <c r="F427" s="1" t="s">
        <v>34</v>
      </c>
      <c r="G427">
        <v>300000</v>
      </c>
      <c r="H427" s="1">
        <v>2</v>
      </c>
      <c r="I427" s="1" t="s">
        <v>28</v>
      </c>
      <c r="J427" s="1" t="s">
        <v>37</v>
      </c>
      <c r="K427" s="15">
        <v>600000</v>
      </c>
      <c r="N427" s="29">
        <f t="shared" si="6"/>
        <v>600000</v>
      </c>
    </row>
    <row r="428" spans="1:14" x14ac:dyDescent="0.2">
      <c r="A428" s="2" t="s">
        <v>465</v>
      </c>
      <c r="B428" s="3">
        <v>45740</v>
      </c>
      <c r="C428" s="10" t="s">
        <v>21</v>
      </c>
      <c r="D428" s="10" t="s">
        <v>22</v>
      </c>
      <c r="E428" s="1" t="s">
        <v>26</v>
      </c>
      <c r="F428" s="1" t="s">
        <v>34</v>
      </c>
      <c r="G428">
        <v>75000</v>
      </c>
      <c r="H428" s="1">
        <v>2</v>
      </c>
      <c r="I428" s="1" t="s">
        <v>39</v>
      </c>
      <c r="J428" s="1" t="s">
        <v>37</v>
      </c>
      <c r="K428" s="15">
        <v>150000</v>
      </c>
      <c r="N428" s="29">
        <f t="shared" si="6"/>
        <v>150000</v>
      </c>
    </row>
    <row r="429" spans="1:14" x14ac:dyDescent="0.2">
      <c r="A429" s="2" t="s">
        <v>466</v>
      </c>
      <c r="B429" s="3">
        <v>45800</v>
      </c>
      <c r="C429" s="10" t="s">
        <v>15</v>
      </c>
      <c r="D429" s="10" t="s">
        <v>16</v>
      </c>
      <c r="E429" s="1" t="s">
        <v>36</v>
      </c>
      <c r="F429" s="1" t="s">
        <v>60</v>
      </c>
      <c r="G429">
        <v>225000</v>
      </c>
      <c r="H429" s="1">
        <v>3</v>
      </c>
      <c r="I429" s="1" t="s">
        <v>39</v>
      </c>
      <c r="J429" s="1" t="s">
        <v>37</v>
      </c>
      <c r="K429" s="15">
        <v>675000</v>
      </c>
      <c r="N429" s="29">
        <f t="shared" si="6"/>
        <v>675000</v>
      </c>
    </row>
    <row r="430" spans="1:14" x14ac:dyDescent="0.2">
      <c r="A430" s="2" t="s">
        <v>467</v>
      </c>
      <c r="B430" s="3">
        <v>45765</v>
      </c>
      <c r="C430" s="10" t="s">
        <v>11</v>
      </c>
      <c r="D430" s="10" t="s">
        <v>12</v>
      </c>
      <c r="E430" s="1" t="s">
        <v>26</v>
      </c>
      <c r="F430" s="1" t="s">
        <v>41</v>
      </c>
      <c r="G430">
        <v>350000</v>
      </c>
      <c r="H430" s="1">
        <v>3</v>
      </c>
      <c r="I430" s="1" t="s">
        <v>39</v>
      </c>
      <c r="J430" s="1" t="s">
        <v>29</v>
      </c>
      <c r="K430" s="15">
        <v>1050000</v>
      </c>
      <c r="N430" s="29">
        <f t="shared" si="6"/>
        <v>1050000</v>
      </c>
    </row>
    <row r="431" spans="1:14" x14ac:dyDescent="0.2">
      <c r="A431" s="2" t="s">
        <v>468</v>
      </c>
      <c r="B431" s="3">
        <v>45660</v>
      </c>
      <c r="C431" s="10" t="s">
        <v>24</v>
      </c>
      <c r="D431" s="10" t="s">
        <v>16</v>
      </c>
      <c r="E431" s="1" t="s">
        <v>47</v>
      </c>
      <c r="F431" s="1" t="s">
        <v>32</v>
      </c>
      <c r="G431">
        <v>240000</v>
      </c>
      <c r="H431" s="1">
        <v>1</v>
      </c>
      <c r="I431" s="1" t="s">
        <v>39</v>
      </c>
      <c r="J431" s="1" t="s">
        <v>29</v>
      </c>
      <c r="K431" s="15">
        <v>240000</v>
      </c>
      <c r="N431" s="29">
        <f t="shared" si="6"/>
        <v>240000</v>
      </c>
    </row>
    <row r="432" spans="1:14" x14ac:dyDescent="0.2">
      <c r="A432" s="2" t="s">
        <v>469</v>
      </c>
      <c r="B432" s="3">
        <v>45748</v>
      </c>
      <c r="C432" s="10" t="s">
        <v>19</v>
      </c>
      <c r="D432" s="10" t="s">
        <v>20</v>
      </c>
      <c r="E432" s="1" t="s">
        <v>26</v>
      </c>
      <c r="F432" s="1" t="s">
        <v>45</v>
      </c>
      <c r="G432">
        <v>250000</v>
      </c>
      <c r="H432" s="1">
        <v>3</v>
      </c>
      <c r="I432" s="1" t="s">
        <v>28</v>
      </c>
      <c r="J432" s="1" t="s">
        <v>29</v>
      </c>
      <c r="K432" s="15">
        <v>750000</v>
      </c>
      <c r="N432" s="29">
        <f t="shared" si="6"/>
        <v>750000</v>
      </c>
    </row>
    <row r="433" spans="1:14" x14ac:dyDescent="0.2">
      <c r="A433" s="2" t="s">
        <v>470</v>
      </c>
      <c r="B433" s="3">
        <v>45681</v>
      </c>
      <c r="C433" s="10" t="s">
        <v>24</v>
      </c>
      <c r="D433" s="10" t="s">
        <v>16</v>
      </c>
      <c r="E433" s="1" t="s">
        <v>47</v>
      </c>
      <c r="F433" s="1" t="s">
        <v>45</v>
      </c>
      <c r="G433">
        <v>240000</v>
      </c>
      <c r="H433" s="1">
        <v>3</v>
      </c>
      <c r="I433" s="1" t="s">
        <v>28</v>
      </c>
      <c r="J433" s="1" t="s">
        <v>29</v>
      </c>
      <c r="K433" s="15">
        <v>720000</v>
      </c>
      <c r="N433" s="29">
        <f t="shared" si="6"/>
        <v>720000</v>
      </c>
    </row>
    <row r="434" spans="1:14" x14ac:dyDescent="0.2">
      <c r="A434" s="2" t="s">
        <v>471</v>
      </c>
      <c r="B434" s="3">
        <v>45819</v>
      </c>
      <c r="C434" s="10" t="s">
        <v>15</v>
      </c>
      <c r="D434" s="10" t="s">
        <v>16</v>
      </c>
      <c r="E434" s="1" t="s">
        <v>26</v>
      </c>
      <c r="F434" s="1" t="s">
        <v>27</v>
      </c>
      <c r="G434">
        <v>225000</v>
      </c>
      <c r="H434" s="1">
        <v>2</v>
      </c>
      <c r="I434" s="1" t="s">
        <v>28</v>
      </c>
      <c r="J434" s="1" t="s">
        <v>37</v>
      </c>
      <c r="K434" s="15">
        <v>450000</v>
      </c>
      <c r="N434" s="29">
        <f t="shared" si="6"/>
        <v>450000</v>
      </c>
    </row>
    <row r="435" spans="1:14" x14ac:dyDescent="0.2">
      <c r="A435" s="2" t="s">
        <v>472</v>
      </c>
      <c r="B435" s="3">
        <v>45758</v>
      </c>
      <c r="C435" s="10" t="s">
        <v>13</v>
      </c>
      <c r="D435" s="10" t="s">
        <v>14</v>
      </c>
      <c r="E435" s="1" t="s">
        <v>47</v>
      </c>
      <c r="F435" s="1" t="s">
        <v>34</v>
      </c>
      <c r="G435">
        <v>275000</v>
      </c>
      <c r="H435" s="1">
        <v>1</v>
      </c>
      <c r="I435" s="1" t="s">
        <v>39</v>
      </c>
      <c r="J435" s="1" t="s">
        <v>29</v>
      </c>
      <c r="K435" s="15">
        <v>275000</v>
      </c>
      <c r="N435" s="29">
        <f t="shared" si="6"/>
        <v>275000</v>
      </c>
    </row>
    <row r="436" spans="1:14" x14ac:dyDescent="0.2">
      <c r="A436" s="2" t="s">
        <v>473</v>
      </c>
      <c r="B436" s="3">
        <v>45768</v>
      </c>
      <c r="C436" s="10" t="s">
        <v>15</v>
      </c>
      <c r="D436" s="10" t="s">
        <v>16</v>
      </c>
      <c r="E436" s="1" t="s">
        <v>31</v>
      </c>
      <c r="F436" s="1" t="s">
        <v>45</v>
      </c>
      <c r="G436">
        <v>225000</v>
      </c>
      <c r="H436" s="1">
        <v>1</v>
      </c>
      <c r="I436" s="1" t="s">
        <v>39</v>
      </c>
      <c r="J436" s="1" t="s">
        <v>29</v>
      </c>
      <c r="K436" s="15">
        <v>225000</v>
      </c>
      <c r="N436" s="29">
        <f t="shared" si="6"/>
        <v>225000</v>
      </c>
    </row>
    <row r="437" spans="1:14" x14ac:dyDescent="0.2">
      <c r="A437" s="2" t="s">
        <v>474</v>
      </c>
      <c r="B437" s="3">
        <v>45818</v>
      </c>
      <c r="C437" s="10" t="s">
        <v>21</v>
      </c>
      <c r="D437" s="10" t="s">
        <v>22</v>
      </c>
      <c r="E437" s="1" t="s">
        <v>31</v>
      </c>
      <c r="F437" s="1" t="s">
        <v>27</v>
      </c>
      <c r="G437">
        <v>75000</v>
      </c>
      <c r="H437" s="1">
        <v>3</v>
      </c>
      <c r="I437" s="1" t="s">
        <v>39</v>
      </c>
      <c r="J437" s="1" t="s">
        <v>29</v>
      </c>
      <c r="K437" s="15">
        <v>225000</v>
      </c>
      <c r="N437" s="29">
        <f t="shared" si="6"/>
        <v>225000</v>
      </c>
    </row>
    <row r="438" spans="1:14" x14ac:dyDescent="0.2">
      <c r="A438" s="2" t="s">
        <v>475</v>
      </c>
      <c r="B438" s="3">
        <v>45692</v>
      </c>
      <c r="C438" s="10" t="s">
        <v>15</v>
      </c>
      <c r="D438" s="10" t="s">
        <v>16</v>
      </c>
      <c r="E438" s="1" t="s">
        <v>36</v>
      </c>
      <c r="F438" s="1" t="s">
        <v>60</v>
      </c>
      <c r="G438">
        <v>225000</v>
      </c>
      <c r="H438" s="1">
        <v>2</v>
      </c>
      <c r="I438" s="1" t="s">
        <v>28</v>
      </c>
      <c r="J438" s="1" t="s">
        <v>29</v>
      </c>
      <c r="K438" s="15">
        <v>450000</v>
      </c>
      <c r="N438" s="29">
        <f t="shared" si="6"/>
        <v>450000</v>
      </c>
    </row>
    <row r="439" spans="1:14" x14ac:dyDescent="0.2">
      <c r="A439" s="2" t="s">
        <v>476</v>
      </c>
      <c r="B439" s="3">
        <v>45824</v>
      </c>
      <c r="C439" s="10" t="s">
        <v>23</v>
      </c>
      <c r="D439" s="10" t="s">
        <v>12</v>
      </c>
      <c r="E439" s="1" t="s">
        <v>31</v>
      </c>
      <c r="F439" s="1" t="s">
        <v>60</v>
      </c>
      <c r="G439">
        <v>375000</v>
      </c>
      <c r="H439" s="1">
        <v>3</v>
      </c>
      <c r="I439" s="1" t="s">
        <v>28</v>
      </c>
      <c r="J439" s="1" t="s">
        <v>29</v>
      </c>
      <c r="K439" s="15">
        <v>1125000</v>
      </c>
      <c r="N439" s="29">
        <f t="shared" si="6"/>
        <v>1125000</v>
      </c>
    </row>
    <row r="440" spans="1:14" x14ac:dyDescent="0.2">
      <c r="A440" s="2" t="s">
        <v>477</v>
      </c>
      <c r="B440" s="3">
        <v>45792</v>
      </c>
      <c r="C440" s="10" t="s">
        <v>17</v>
      </c>
      <c r="D440" s="10" t="s">
        <v>18</v>
      </c>
      <c r="E440" s="1" t="s">
        <v>26</v>
      </c>
      <c r="F440" s="1" t="s">
        <v>60</v>
      </c>
      <c r="G440">
        <v>300000</v>
      </c>
      <c r="H440" s="1">
        <v>2</v>
      </c>
      <c r="I440" s="1" t="s">
        <v>28</v>
      </c>
      <c r="J440" s="1" t="s">
        <v>29</v>
      </c>
      <c r="K440" s="15">
        <v>600000</v>
      </c>
      <c r="N440" s="29">
        <f t="shared" si="6"/>
        <v>600000</v>
      </c>
    </row>
    <row r="441" spans="1:14" x14ac:dyDescent="0.2">
      <c r="A441" s="2" t="s">
        <v>478</v>
      </c>
      <c r="B441" s="3">
        <v>45794</v>
      </c>
      <c r="C441" s="10" t="s">
        <v>11</v>
      </c>
      <c r="D441" s="10" t="s">
        <v>12</v>
      </c>
      <c r="E441" s="1" t="s">
        <v>26</v>
      </c>
      <c r="F441" s="1" t="s">
        <v>45</v>
      </c>
      <c r="G441">
        <v>350000</v>
      </c>
      <c r="H441" s="1">
        <v>3</v>
      </c>
      <c r="I441" s="1" t="s">
        <v>28</v>
      </c>
      <c r="J441" s="1" t="s">
        <v>37</v>
      </c>
      <c r="K441" s="15">
        <v>1050000</v>
      </c>
      <c r="N441" s="29">
        <f t="shared" si="6"/>
        <v>1050000</v>
      </c>
    </row>
    <row r="442" spans="1:14" x14ac:dyDescent="0.2">
      <c r="A442" s="2" t="s">
        <v>479</v>
      </c>
      <c r="B442" s="3">
        <v>45674</v>
      </c>
      <c r="C442" s="10" t="s">
        <v>23</v>
      </c>
      <c r="D442" s="10" t="s">
        <v>12</v>
      </c>
      <c r="E442" s="1" t="s">
        <v>47</v>
      </c>
      <c r="F442" s="1" t="s">
        <v>41</v>
      </c>
      <c r="G442">
        <v>375000</v>
      </c>
      <c r="H442" s="1">
        <v>2</v>
      </c>
      <c r="I442" s="1" t="s">
        <v>28</v>
      </c>
      <c r="J442" s="1" t="s">
        <v>29</v>
      </c>
      <c r="K442" s="15">
        <v>750000</v>
      </c>
      <c r="N442" s="29">
        <f t="shared" si="6"/>
        <v>750000</v>
      </c>
    </row>
    <row r="443" spans="1:14" x14ac:dyDescent="0.2">
      <c r="A443" s="2" t="s">
        <v>480</v>
      </c>
      <c r="B443" s="3">
        <v>45676</v>
      </c>
      <c r="C443" s="10" t="s">
        <v>21</v>
      </c>
      <c r="D443" s="10" t="s">
        <v>22</v>
      </c>
      <c r="E443" s="1" t="s">
        <v>47</v>
      </c>
      <c r="F443" s="1" t="s">
        <v>45</v>
      </c>
      <c r="G443">
        <v>75000</v>
      </c>
      <c r="H443" s="1">
        <v>1</v>
      </c>
      <c r="I443" s="1" t="s">
        <v>39</v>
      </c>
      <c r="J443" s="1" t="s">
        <v>29</v>
      </c>
      <c r="K443" s="15">
        <v>75000</v>
      </c>
      <c r="N443" s="29">
        <f t="shared" si="6"/>
        <v>75000</v>
      </c>
    </row>
    <row r="444" spans="1:14" x14ac:dyDescent="0.2">
      <c r="A444" s="2" t="s">
        <v>481</v>
      </c>
      <c r="B444" s="3">
        <v>45757</v>
      </c>
      <c r="C444" s="10" t="s">
        <v>17</v>
      </c>
      <c r="D444" s="10" t="s">
        <v>18</v>
      </c>
      <c r="E444" s="1" t="s">
        <v>47</v>
      </c>
      <c r="F444" s="1" t="s">
        <v>41</v>
      </c>
      <c r="G444">
        <v>300000</v>
      </c>
      <c r="H444" s="1">
        <v>3</v>
      </c>
      <c r="I444" s="1" t="s">
        <v>39</v>
      </c>
      <c r="J444" s="1" t="s">
        <v>29</v>
      </c>
      <c r="K444" s="15">
        <v>900000</v>
      </c>
      <c r="N444" s="29">
        <f t="shared" si="6"/>
        <v>900000</v>
      </c>
    </row>
    <row r="445" spans="1:14" x14ac:dyDescent="0.2">
      <c r="A445" s="2" t="s">
        <v>482</v>
      </c>
      <c r="B445" s="3">
        <v>45773</v>
      </c>
      <c r="C445" s="10" t="s">
        <v>15</v>
      </c>
      <c r="D445" s="10" t="s">
        <v>16</v>
      </c>
      <c r="E445" s="1" t="s">
        <v>47</v>
      </c>
      <c r="F445" s="1" t="s">
        <v>41</v>
      </c>
      <c r="G445">
        <v>225000</v>
      </c>
      <c r="H445" s="1">
        <v>3</v>
      </c>
      <c r="I445" s="1" t="s">
        <v>39</v>
      </c>
      <c r="J445" s="1" t="s">
        <v>37</v>
      </c>
      <c r="K445" s="15">
        <v>675000</v>
      </c>
      <c r="N445" s="29">
        <f t="shared" si="6"/>
        <v>675000</v>
      </c>
    </row>
    <row r="446" spans="1:14" x14ac:dyDescent="0.2">
      <c r="A446" s="2" t="s">
        <v>483</v>
      </c>
      <c r="B446" s="3">
        <v>45784</v>
      </c>
      <c r="C446" s="10" t="s">
        <v>17</v>
      </c>
      <c r="D446" s="10" t="s">
        <v>18</v>
      </c>
      <c r="E446" s="1" t="s">
        <v>47</v>
      </c>
      <c r="F446" s="1" t="s">
        <v>34</v>
      </c>
      <c r="G446">
        <v>300000</v>
      </c>
      <c r="H446" s="1">
        <v>2</v>
      </c>
      <c r="I446" s="1" t="s">
        <v>39</v>
      </c>
      <c r="J446" s="1" t="s">
        <v>37</v>
      </c>
      <c r="K446" s="15">
        <v>600000</v>
      </c>
      <c r="N446" s="29">
        <f t="shared" si="6"/>
        <v>600000</v>
      </c>
    </row>
    <row r="447" spans="1:14" x14ac:dyDescent="0.2">
      <c r="A447" s="2" t="s">
        <v>484</v>
      </c>
      <c r="B447" s="3">
        <v>45723</v>
      </c>
      <c r="C447" s="10" t="s">
        <v>11</v>
      </c>
      <c r="D447" s="10" t="s">
        <v>12</v>
      </c>
      <c r="E447" s="1" t="s">
        <v>47</v>
      </c>
      <c r="F447" s="1" t="s">
        <v>41</v>
      </c>
      <c r="G447">
        <v>350000</v>
      </c>
      <c r="H447" s="1">
        <v>1</v>
      </c>
      <c r="I447" s="1" t="s">
        <v>39</v>
      </c>
      <c r="J447" s="1" t="s">
        <v>29</v>
      </c>
      <c r="K447" s="15">
        <v>350000</v>
      </c>
      <c r="N447" s="29">
        <f t="shared" si="6"/>
        <v>350000</v>
      </c>
    </row>
    <row r="448" spans="1:14" x14ac:dyDescent="0.2">
      <c r="A448" s="2" t="s">
        <v>485</v>
      </c>
      <c r="B448" s="3">
        <v>45763</v>
      </c>
      <c r="C448" s="10" t="s">
        <v>13</v>
      </c>
      <c r="D448" s="10" t="s">
        <v>14</v>
      </c>
      <c r="E448" s="1" t="s">
        <v>47</v>
      </c>
      <c r="F448" s="1" t="s">
        <v>34</v>
      </c>
      <c r="G448">
        <v>275000</v>
      </c>
      <c r="H448" s="1">
        <v>3</v>
      </c>
      <c r="I448" s="1" t="s">
        <v>28</v>
      </c>
      <c r="J448" s="1" t="s">
        <v>37</v>
      </c>
      <c r="K448" s="15">
        <v>825000</v>
      </c>
      <c r="N448" s="29">
        <f t="shared" si="6"/>
        <v>825000</v>
      </c>
    </row>
    <row r="449" spans="1:14" x14ac:dyDescent="0.2">
      <c r="A449" s="2" t="s">
        <v>486</v>
      </c>
      <c r="B449" s="3">
        <v>45813</v>
      </c>
      <c r="C449" s="10" t="s">
        <v>13</v>
      </c>
      <c r="D449" s="10" t="s">
        <v>14</v>
      </c>
      <c r="E449" s="1" t="s">
        <v>36</v>
      </c>
      <c r="F449" s="1" t="s">
        <v>45</v>
      </c>
      <c r="G449">
        <v>275000</v>
      </c>
      <c r="H449" s="1">
        <v>1</v>
      </c>
      <c r="I449" s="1" t="s">
        <v>39</v>
      </c>
      <c r="J449" s="1" t="s">
        <v>37</v>
      </c>
      <c r="K449" s="15">
        <v>275000</v>
      </c>
      <c r="N449" s="29">
        <f t="shared" si="6"/>
        <v>275000</v>
      </c>
    </row>
    <row r="450" spans="1:14" x14ac:dyDescent="0.2">
      <c r="A450" s="2" t="s">
        <v>487</v>
      </c>
      <c r="B450" s="3">
        <v>45767</v>
      </c>
      <c r="C450" s="10" t="s">
        <v>19</v>
      </c>
      <c r="D450" s="10" t="s">
        <v>20</v>
      </c>
      <c r="E450" s="1" t="s">
        <v>36</v>
      </c>
      <c r="F450" s="1" t="s">
        <v>27</v>
      </c>
      <c r="G450">
        <v>250000</v>
      </c>
      <c r="H450" s="1">
        <v>1</v>
      </c>
      <c r="I450" s="1" t="s">
        <v>28</v>
      </c>
      <c r="J450" s="1" t="s">
        <v>37</v>
      </c>
      <c r="K450" s="15">
        <v>250000</v>
      </c>
      <c r="N450" s="29">
        <f t="shared" si="6"/>
        <v>250000</v>
      </c>
    </row>
    <row r="451" spans="1:14" x14ac:dyDescent="0.2">
      <c r="A451" s="2" t="s">
        <v>488</v>
      </c>
      <c r="B451" s="3">
        <v>45672</v>
      </c>
      <c r="C451" s="10" t="s">
        <v>19</v>
      </c>
      <c r="D451" s="10" t="s">
        <v>20</v>
      </c>
      <c r="E451" s="1" t="s">
        <v>36</v>
      </c>
      <c r="F451" s="1" t="s">
        <v>60</v>
      </c>
      <c r="G451">
        <v>250000</v>
      </c>
      <c r="H451" s="1">
        <v>2</v>
      </c>
      <c r="I451" s="1" t="s">
        <v>39</v>
      </c>
      <c r="J451" s="1" t="s">
        <v>29</v>
      </c>
      <c r="K451" s="15">
        <v>500000</v>
      </c>
      <c r="N451" s="29">
        <f t="shared" ref="N451:N514" si="7">G451*H451</f>
        <v>500000</v>
      </c>
    </row>
    <row r="452" spans="1:14" x14ac:dyDescent="0.2">
      <c r="A452" s="2" t="s">
        <v>489</v>
      </c>
      <c r="B452" s="3">
        <v>45707</v>
      </c>
      <c r="C452" s="10" t="s">
        <v>24</v>
      </c>
      <c r="D452" s="10" t="s">
        <v>16</v>
      </c>
      <c r="E452" s="1" t="s">
        <v>47</v>
      </c>
      <c r="F452" s="1" t="s">
        <v>41</v>
      </c>
      <c r="G452">
        <v>240000</v>
      </c>
      <c r="H452" s="1">
        <v>3</v>
      </c>
      <c r="I452" s="1" t="s">
        <v>39</v>
      </c>
      <c r="J452" s="1" t="s">
        <v>37</v>
      </c>
      <c r="K452" s="15">
        <v>720000</v>
      </c>
      <c r="N452" s="29">
        <f t="shared" si="7"/>
        <v>720000</v>
      </c>
    </row>
    <row r="453" spans="1:14" x14ac:dyDescent="0.2">
      <c r="A453" s="2" t="s">
        <v>490</v>
      </c>
      <c r="B453" s="3">
        <v>45695</v>
      </c>
      <c r="C453" s="10" t="s">
        <v>21</v>
      </c>
      <c r="D453" s="10" t="s">
        <v>22</v>
      </c>
      <c r="E453" s="1" t="s">
        <v>31</v>
      </c>
      <c r="F453" s="1" t="s">
        <v>41</v>
      </c>
      <c r="G453">
        <v>75000</v>
      </c>
      <c r="H453" s="1">
        <v>2</v>
      </c>
      <c r="I453" s="1" t="s">
        <v>28</v>
      </c>
      <c r="J453" s="1" t="s">
        <v>29</v>
      </c>
      <c r="K453" s="15">
        <v>150000</v>
      </c>
      <c r="N453" s="29">
        <f t="shared" si="7"/>
        <v>150000</v>
      </c>
    </row>
    <row r="454" spans="1:14" x14ac:dyDescent="0.2">
      <c r="A454" s="2" t="s">
        <v>491</v>
      </c>
      <c r="B454" s="3">
        <v>45699</v>
      </c>
      <c r="C454" s="10" t="s">
        <v>15</v>
      </c>
      <c r="D454" s="10" t="s">
        <v>16</v>
      </c>
      <c r="E454" s="1" t="s">
        <v>26</v>
      </c>
      <c r="F454" s="1" t="s">
        <v>34</v>
      </c>
      <c r="G454">
        <v>225000</v>
      </c>
      <c r="H454" s="1">
        <v>1</v>
      </c>
      <c r="I454" s="1" t="s">
        <v>39</v>
      </c>
      <c r="J454" s="1" t="s">
        <v>37</v>
      </c>
      <c r="K454" s="15">
        <v>225000</v>
      </c>
      <c r="N454" s="29">
        <f t="shared" si="7"/>
        <v>225000</v>
      </c>
    </row>
    <row r="455" spans="1:14" x14ac:dyDescent="0.2">
      <c r="A455" s="2" t="s">
        <v>492</v>
      </c>
      <c r="B455" s="3">
        <v>45819</v>
      </c>
      <c r="C455" s="10" t="s">
        <v>24</v>
      </c>
      <c r="D455" s="10" t="s">
        <v>16</v>
      </c>
      <c r="E455" s="1" t="s">
        <v>31</v>
      </c>
      <c r="F455" s="1" t="s">
        <v>27</v>
      </c>
      <c r="G455">
        <v>240000</v>
      </c>
      <c r="H455" s="1">
        <v>1</v>
      </c>
      <c r="I455" s="1" t="s">
        <v>28</v>
      </c>
      <c r="J455" s="1" t="s">
        <v>37</v>
      </c>
      <c r="K455" s="15">
        <v>240000</v>
      </c>
      <c r="N455" s="29">
        <f t="shared" si="7"/>
        <v>240000</v>
      </c>
    </row>
    <row r="456" spans="1:14" x14ac:dyDescent="0.2">
      <c r="A456" s="2" t="s">
        <v>493</v>
      </c>
      <c r="B456" s="3">
        <v>45745</v>
      </c>
      <c r="C456" s="10" t="s">
        <v>21</v>
      </c>
      <c r="D456" s="10" t="s">
        <v>22</v>
      </c>
      <c r="E456" s="1" t="s">
        <v>47</v>
      </c>
      <c r="F456" s="1" t="s">
        <v>41</v>
      </c>
      <c r="G456">
        <v>75000</v>
      </c>
      <c r="H456" s="1">
        <v>1</v>
      </c>
      <c r="I456" s="1" t="s">
        <v>39</v>
      </c>
      <c r="J456" s="1" t="s">
        <v>37</v>
      </c>
      <c r="K456" s="15">
        <v>75000</v>
      </c>
      <c r="N456" s="29">
        <f t="shared" si="7"/>
        <v>75000</v>
      </c>
    </row>
    <row r="457" spans="1:14" x14ac:dyDescent="0.2">
      <c r="A457" s="2" t="s">
        <v>494</v>
      </c>
      <c r="B457" s="3">
        <v>45830</v>
      </c>
      <c r="C457" s="10" t="s">
        <v>11</v>
      </c>
      <c r="D457" s="10" t="s">
        <v>12</v>
      </c>
      <c r="E457" s="1" t="s">
        <v>36</v>
      </c>
      <c r="F457" s="1" t="s">
        <v>27</v>
      </c>
      <c r="G457">
        <v>350000</v>
      </c>
      <c r="H457" s="1">
        <v>1</v>
      </c>
      <c r="I457" s="1" t="s">
        <v>39</v>
      </c>
      <c r="J457" s="1" t="s">
        <v>29</v>
      </c>
      <c r="K457" s="15">
        <v>350000</v>
      </c>
      <c r="N457" s="29">
        <f t="shared" si="7"/>
        <v>350000</v>
      </c>
    </row>
    <row r="458" spans="1:14" x14ac:dyDescent="0.2">
      <c r="A458" s="2" t="s">
        <v>495</v>
      </c>
      <c r="B458" s="3">
        <v>45716</v>
      </c>
      <c r="C458" s="10" t="s">
        <v>15</v>
      </c>
      <c r="D458" s="10" t="s">
        <v>16</v>
      </c>
      <c r="E458" s="1" t="s">
        <v>47</v>
      </c>
      <c r="F458" s="1" t="s">
        <v>27</v>
      </c>
      <c r="G458">
        <v>225000</v>
      </c>
      <c r="H458" s="1">
        <v>1</v>
      </c>
      <c r="I458" s="1" t="s">
        <v>39</v>
      </c>
      <c r="J458" s="1" t="s">
        <v>29</v>
      </c>
      <c r="K458" s="15">
        <v>225000</v>
      </c>
      <c r="N458" s="29">
        <f t="shared" si="7"/>
        <v>225000</v>
      </c>
    </row>
    <row r="459" spans="1:14" x14ac:dyDescent="0.2">
      <c r="A459" s="2" t="s">
        <v>496</v>
      </c>
      <c r="B459" s="3">
        <v>45673</v>
      </c>
      <c r="C459" s="10" t="s">
        <v>11</v>
      </c>
      <c r="D459" s="10" t="s">
        <v>12</v>
      </c>
      <c r="E459" s="1" t="s">
        <v>31</v>
      </c>
      <c r="F459" s="1" t="s">
        <v>32</v>
      </c>
      <c r="G459">
        <v>350000</v>
      </c>
      <c r="H459" s="1">
        <v>2</v>
      </c>
      <c r="I459" s="1" t="s">
        <v>28</v>
      </c>
      <c r="J459" s="1" t="s">
        <v>37</v>
      </c>
      <c r="K459" s="15">
        <v>700000</v>
      </c>
      <c r="N459" s="29">
        <f t="shared" si="7"/>
        <v>700000</v>
      </c>
    </row>
    <row r="460" spans="1:14" x14ac:dyDescent="0.2">
      <c r="A460" s="2" t="s">
        <v>497</v>
      </c>
      <c r="B460" s="3">
        <v>45790</v>
      </c>
      <c r="C460" s="10" t="s">
        <v>19</v>
      </c>
      <c r="D460" s="10" t="s">
        <v>20</v>
      </c>
      <c r="E460" s="1" t="s">
        <v>26</v>
      </c>
      <c r="F460" s="1" t="s">
        <v>32</v>
      </c>
      <c r="G460">
        <v>250000</v>
      </c>
      <c r="H460" s="1">
        <v>3</v>
      </c>
      <c r="I460" s="1" t="s">
        <v>28</v>
      </c>
      <c r="J460" s="1" t="s">
        <v>37</v>
      </c>
      <c r="K460" s="15">
        <v>750000</v>
      </c>
      <c r="N460" s="29">
        <f t="shared" si="7"/>
        <v>750000</v>
      </c>
    </row>
    <row r="461" spans="1:14" x14ac:dyDescent="0.2">
      <c r="A461" s="2" t="s">
        <v>498</v>
      </c>
      <c r="B461" s="3">
        <v>45759</v>
      </c>
      <c r="C461" s="10" t="s">
        <v>19</v>
      </c>
      <c r="D461" s="10" t="s">
        <v>20</v>
      </c>
      <c r="E461" s="1" t="s">
        <v>47</v>
      </c>
      <c r="F461" s="1" t="s">
        <v>41</v>
      </c>
      <c r="G461">
        <v>250000</v>
      </c>
      <c r="H461" s="1">
        <v>2</v>
      </c>
      <c r="I461" s="1" t="s">
        <v>28</v>
      </c>
      <c r="J461" s="1" t="s">
        <v>37</v>
      </c>
      <c r="K461" s="15">
        <v>500000</v>
      </c>
      <c r="N461" s="29">
        <f t="shared" si="7"/>
        <v>500000</v>
      </c>
    </row>
    <row r="462" spans="1:14" x14ac:dyDescent="0.2">
      <c r="A462" s="2" t="s">
        <v>499</v>
      </c>
      <c r="B462" s="3">
        <v>45818</v>
      </c>
      <c r="C462" s="10" t="s">
        <v>15</v>
      </c>
      <c r="D462" s="10" t="s">
        <v>16</v>
      </c>
      <c r="E462" s="1" t="s">
        <v>26</v>
      </c>
      <c r="F462" s="1" t="s">
        <v>45</v>
      </c>
      <c r="G462">
        <v>225000</v>
      </c>
      <c r="H462" s="1">
        <v>3</v>
      </c>
      <c r="I462" s="1" t="s">
        <v>39</v>
      </c>
      <c r="J462" s="1" t="s">
        <v>29</v>
      </c>
      <c r="K462" s="15">
        <v>675000</v>
      </c>
      <c r="N462" s="29">
        <f t="shared" si="7"/>
        <v>675000</v>
      </c>
    </row>
    <row r="463" spans="1:14" x14ac:dyDescent="0.2">
      <c r="A463" s="2" t="s">
        <v>500</v>
      </c>
      <c r="B463" s="3">
        <v>45763</v>
      </c>
      <c r="C463" s="10" t="s">
        <v>13</v>
      </c>
      <c r="D463" s="10" t="s">
        <v>14</v>
      </c>
      <c r="E463" s="1" t="s">
        <v>36</v>
      </c>
      <c r="F463" s="1" t="s">
        <v>41</v>
      </c>
      <c r="G463">
        <v>275000</v>
      </c>
      <c r="H463" s="1">
        <v>1</v>
      </c>
      <c r="I463" s="1" t="s">
        <v>39</v>
      </c>
      <c r="J463" s="1" t="s">
        <v>37</v>
      </c>
      <c r="K463" s="15">
        <v>275000</v>
      </c>
      <c r="N463" s="29">
        <f t="shared" si="7"/>
        <v>275000</v>
      </c>
    </row>
    <row r="464" spans="1:14" x14ac:dyDescent="0.2">
      <c r="A464" s="2" t="s">
        <v>501</v>
      </c>
      <c r="B464" s="3">
        <v>45758</v>
      </c>
      <c r="C464" s="10" t="s">
        <v>19</v>
      </c>
      <c r="D464" s="10" t="s">
        <v>20</v>
      </c>
      <c r="E464" s="1" t="s">
        <v>31</v>
      </c>
      <c r="F464" s="1" t="s">
        <v>27</v>
      </c>
      <c r="G464">
        <v>250000</v>
      </c>
      <c r="H464" s="1">
        <v>2</v>
      </c>
      <c r="I464" s="1" t="s">
        <v>39</v>
      </c>
      <c r="J464" s="1" t="s">
        <v>37</v>
      </c>
      <c r="K464" s="15">
        <v>500000</v>
      </c>
      <c r="N464" s="29">
        <f t="shared" si="7"/>
        <v>500000</v>
      </c>
    </row>
    <row r="465" spans="1:14" x14ac:dyDescent="0.2">
      <c r="A465" s="2" t="s">
        <v>502</v>
      </c>
      <c r="B465" s="3">
        <v>45673</v>
      </c>
      <c r="C465" s="10" t="s">
        <v>17</v>
      </c>
      <c r="D465" s="10" t="s">
        <v>18</v>
      </c>
      <c r="E465" s="1" t="s">
        <v>36</v>
      </c>
      <c r="F465" s="1" t="s">
        <v>41</v>
      </c>
      <c r="G465">
        <v>300000</v>
      </c>
      <c r="H465" s="1">
        <v>1</v>
      </c>
      <c r="I465" s="1" t="s">
        <v>39</v>
      </c>
      <c r="J465" s="1" t="s">
        <v>29</v>
      </c>
      <c r="K465" s="15">
        <v>300000</v>
      </c>
      <c r="N465" s="29">
        <f t="shared" si="7"/>
        <v>300000</v>
      </c>
    </row>
    <row r="466" spans="1:14" x14ac:dyDescent="0.2">
      <c r="A466" s="2" t="s">
        <v>503</v>
      </c>
      <c r="B466" s="3">
        <v>45730</v>
      </c>
      <c r="C466" s="10" t="s">
        <v>13</v>
      </c>
      <c r="D466" s="10" t="s">
        <v>14</v>
      </c>
      <c r="E466" s="1" t="s">
        <v>47</v>
      </c>
      <c r="F466" s="1" t="s">
        <v>45</v>
      </c>
      <c r="G466">
        <v>275000</v>
      </c>
      <c r="H466" s="1">
        <v>3</v>
      </c>
      <c r="I466" s="1" t="s">
        <v>39</v>
      </c>
      <c r="J466" s="1" t="s">
        <v>29</v>
      </c>
      <c r="K466" s="15">
        <v>825000</v>
      </c>
      <c r="N466" s="29">
        <f t="shared" si="7"/>
        <v>825000</v>
      </c>
    </row>
    <row r="467" spans="1:14" x14ac:dyDescent="0.2">
      <c r="A467" s="2" t="s">
        <v>504</v>
      </c>
      <c r="B467" s="3">
        <v>45806</v>
      </c>
      <c r="C467" s="10" t="s">
        <v>24</v>
      </c>
      <c r="D467" s="10" t="s">
        <v>16</v>
      </c>
      <c r="E467" s="1" t="s">
        <v>47</v>
      </c>
      <c r="F467" s="1" t="s">
        <v>60</v>
      </c>
      <c r="G467">
        <v>240000</v>
      </c>
      <c r="H467" s="1">
        <v>3</v>
      </c>
      <c r="I467" s="1" t="s">
        <v>28</v>
      </c>
      <c r="J467" s="1" t="s">
        <v>37</v>
      </c>
      <c r="K467" s="15">
        <v>720000</v>
      </c>
      <c r="N467" s="29">
        <f t="shared" si="7"/>
        <v>720000</v>
      </c>
    </row>
    <row r="468" spans="1:14" x14ac:dyDescent="0.2">
      <c r="A468" s="2" t="s">
        <v>505</v>
      </c>
      <c r="B468" s="3">
        <v>45766</v>
      </c>
      <c r="C468" s="10" t="s">
        <v>21</v>
      </c>
      <c r="D468" s="10" t="s">
        <v>22</v>
      </c>
      <c r="E468" s="1" t="s">
        <v>47</v>
      </c>
      <c r="F468" s="1" t="s">
        <v>32</v>
      </c>
      <c r="G468">
        <v>75000</v>
      </c>
      <c r="H468" s="1">
        <v>3</v>
      </c>
      <c r="I468" s="1" t="s">
        <v>28</v>
      </c>
      <c r="J468" s="1" t="s">
        <v>29</v>
      </c>
      <c r="K468" s="15">
        <v>225000</v>
      </c>
      <c r="N468" s="29">
        <f t="shared" si="7"/>
        <v>225000</v>
      </c>
    </row>
    <row r="469" spans="1:14" x14ac:dyDescent="0.2">
      <c r="A469" s="2" t="s">
        <v>506</v>
      </c>
      <c r="B469" s="3">
        <v>45671</v>
      </c>
      <c r="C469" s="10" t="s">
        <v>11</v>
      </c>
      <c r="D469" s="10" t="s">
        <v>12</v>
      </c>
      <c r="E469" s="1" t="s">
        <v>31</v>
      </c>
      <c r="F469" s="1" t="s">
        <v>32</v>
      </c>
      <c r="G469">
        <v>350000</v>
      </c>
      <c r="H469" s="1">
        <v>3</v>
      </c>
      <c r="I469" s="1" t="s">
        <v>28</v>
      </c>
      <c r="J469" s="1" t="s">
        <v>37</v>
      </c>
      <c r="K469" s="15">
        <v>1050000</v>
      </c>
      <c r="N469" s="29">
        <f t="shared" si="7"/>
        <v>1050000</v>
      </c>
    </row>
    <row r="470" spans="1:14" x14ac:dyDescent="0.2">
      <c r="A470" s="2" t="s">
        <v>507</v>
      </c>
      <c r="B470" s="3">
        <v>45810</v>
      </c>
      <c r="C470" s="10" t="s">
        <v>23</v>
      </c>
      <c r="D470" s="10" t="s">
        <v>12</v>
      </c>
      <c r="E470" s="1" t="s">
        <v>31</v>
      </c>
      <c r="F470" s="1" t="s">
        <v>32</v>
      </c>
      <c r="G470">
        <v>375000</v>
      </c>
      <c r="H470" s="1">
        <v>1</v>
      </c>
      <c r="I470" s="1" t="s">
        <v>39</v>
      </c>
      <c r="J470" s="1" t="s">
        <v>29</v>
      </c>
      <c r="K470" s="15">
        <v>375000</v>
      </c>
      <c r="N470" s="29">
        <f t="shared" si="7"/>
        <v>375000</v>
      </c>
    </row>
    <row r="471" spans="1:14" x14ac:dyDescent="0.2">
      <c r="A471" s="2" t="s">
        <v>508</v>
      </c>
      <c r="B471" s="3">
        <v>45751</v>
      </c>
      <c r="C471" s="10" t="s">
        <v>11</v>
      </c>
      <c r="D471" s="10" t="s">
        <v>12</v>
      </c>
      <c r="E471" s="1" t="s">
        <v>31</v>
      </c>
      <c r="F471" s="1" t="s">
        <v>34</v>
      </c>
      <c r="G471">
        <v>350000</v>
      </c>
      <c r="H471" s="1">
        <v>1</v>
      </c>
      <c r="I471" s="1" t="s">
        <v>28</v>
      </c>
      <c r="J471" s="1" t="s">
        <v>29</v>
      </c>
      <c r="K471" s="15">
        <v>350000</v>
      </c>
      <c r="N471" s="29">
        <f t="shared" si="7"/>
        <v>350000</v>
      </c>
    </row>
    <row r="472" spans="1:14" x14ac:dyDescent="0.2">
      <c r="A472" s="2" t="s">
        <v>509</v>
      </c>
      <c r="B472" s="3">
        <v>45659</v>
      </c>
      <c r="C472" s="10" t="s">
        <v>21</v>
      </c>
      <c r="D472" s="10" t="s">
        <v>22</v>
      </c>
      <c r="E472" s="1" t="s">
        <v>26</v>
      </c>
      <c r="F472" s="1" t="s">
        <v>41</v>
      </c>
      <c r="G472">
        <v>75000</v>
      </c>
      <c r="H472" s="1">
        <v>1</v>
      </c>
      <c r="I472" s="1" t="s">
        <v>39</v>
      </c>
      <c r="J472" s="1" t="s">
        <v>29</v>
      </c>
      <c r="K472" s="15">
        <v>75000</v>
      </c>
      <c r="N472" s="29">
        <f t="shared" si="7"/>
        <v>75000</v>
      </c>
    </row>
    <row r="473" spans="1:14" x14ac:dyDescent="0.2">
      <c r="A473" s="2" t="s">
        <v>510</v>
      </c>
      <c r="B473" s="3">
        <v>45793</v>
      </c>
      <c r="C473" s="10" t="s">
        <v>13</v>
      </c>
      <c r="D473" s="10" t="s">
        <v>14</v>
      </c>
      <c r="E473" s="1" t="s">
        <v>26</v>
      </c>
      <c r="F473" s="1" t="s">
        <v>34</v>
      </c>
      <c r="G473">
        <v>275000</v>
      </c>
      <c r="H473" s="1">
        <v>3</v>
      </c>
      <c r="I473" s="1" t="s">
        <v>28</v>
      </c>
      <c r="J473" s="1" t="s">
        <v>37</v>
      </c>
      <c r="K473" s="15">
        <v>825000</v>
      </c>
      <c r="N473" s="29">
        <f t="shared" si="7"/>
        <v>825000</v>
      </c>
    </row>
    <row r="474" spans="1:14" x14ac:dyDescent="0.2">
      <c r="A474" s="2" t="s">
        <v>511</v>
      </c>
      <c r="B474" s="3">
        <v>45795</v>
      </c>
      <c r="C474" s="10" t="s">
        <v>13</v>
      </c>
      <c r="D474" s="10" t="s">
        <v>14</v>
      </c>
      <c r="E474" s="1" t="s">
        <v>26</v>
      </c>
      <c r="F474" s="1" t="s">
        <v>60</v>
      </c>
      <c r="G474">
        <v>275000</v>
      </c>
      <c r="H474" s="1">
        <v>2</v>
      </c>
      <c r="I474" s="1" t="s">
        <v>39</v>
      </c>
      <c r="J474" s="1" t="s">
        <v>37</v>
      </c>
      <c r="K474" s="15">
        <v>550000</v>
      </c>
      <c r="N474" s="29">
        <f t="shared" si="7"/>
        <v>550000</v>
      </c>
    </row>
    <row r="475" spans="1:14" x14ac:dyDescent="0.2">
      <c r="A475" s="2" t="s">
        <v>512</v>
      </c>
      <c r="B475" s="3">
        <v>45665</v>
      </c>
      <c r="C475" s="10" t="s">
        <v>13</v>
      </c>
      <c r="D475" s="10" t="s">
        <v>14</v>
      </c>
      <c r="E475" s="1" t="s">
        <v>26</v>
      </c>
      <c r="F475" s="1" t="s">
        <v>32</v>
      </c>
      <c r="G475">
        <v>275000</v>
      </c>
      <c r="H475" s="1">
        <v>3</v>
      </c>
      <c r="I475" s="1" t="s">
        <v>39</v>
      </c>
      <c r="J475" s="1" t="s">
        <v>37</v>
      </c>
      <c r="K475" s="15">
        <v>825000</v>
      </c>
      <c r="N475" s="29">
        <f t="shared" si="7"/>
        <v>825000</v>
      </c>
    </row>
    <row r="476" spans="1:14" x14ac:dyDescent="0.2">
      <c r="A476" s="2" t="s">
        <v>513</v>
      </c>
      <c r="B476" s="3">
        <v>45684</v>
      </c>
      <c r="C476" s="10" t="s">
        <v>15</v>
      </c>
      <c r="D476" s="10" t="s">
        <v>16</v>
      </c>
      <c r="E476" s="1" t="s">
        <v>36</v>
      </c>
      <c r="F476" s="1" t="s">
        <v>32</v>
      </c>
      <c r="G476">
        <v>225000</v>
      </c>
      <c r="H476" s="1">
        <v>1</v>
      </c>
      <c r="I476" s="1" t="s">
        <v>28</v>
      </c>
      <c r="J476" s="1" t="s">
        <v>37</v>
      </c>
      <c r="K476" s="15">
        <v>225000</v>
      </c>
      <c r="N476" s="29">
        <f t="shared" si="7"/>
        <v>225000</v>
      </c>
    </row>
    <row r="477" spans="1:14" x14ac:dyDescent="0.2">
      <c r="A477" s="2" t="s">
        <v>514</v>
      </c>
      <c r="B477" s="3">
        <v>45804</v>
      </c>
      <c r="C477" s="10" t="s">
        <v>24</v>
      </c>
      <c r="D477" s="10" t="s">
        <v>16</v>
      </c>
      <c r="E477" s="1" t="s">
        <v>47</v>
      </c>
      <c r="F477" s="1" t="s">
        <v>32</v>
      </c>
      <c r="G477">
        <v>240000</v>
      </c>
      <c r="H477" s="1">
        <v>2</v>
      </c>
      <c r="I477" s="1" t="s">
        <v>39</v>
      </c>
      <c r="J477" s="1" t="s">
        <v>37</v>
      </c>
      <c r="K477" s="15">
        <v>480000</v>
      </c>
      <c r="N477" s="29">
        <f t="shared" si="7"/>
        <v>480000</v>
      </c>
    </row>
    <row r="478" spans="1:14" x14ac:dyDescent="0.2">
      <c r="A478" s="2" t="s">
        <v>515</v>
      </c>
      <c r="B478" s="3">
        <v>45762</v>
      </c>
      <c r="C478" s="10" t="s">
        <v>13</v>
      </c>
      <c r="D478" s="10" t="s">
        <v>14</v>
      </c>
      <c r="E478" s="1" t="s">
        <v>31</v>
      </c>
      <c r="F478" s="1" t="s">
        <v>41</v>
      </c>
      <c r="G478">
        <v>275000</v>
      </c>
      <c r="H478" s="1">
        <v>2</v>
      </c>
      <c r="I478" s="1" t="s">
        <v>39</v>
      </c>
      <c r="J478" s="1" t="s">
        <v>29</v>
      </c>
      <c r="K478" s="15">
        <v>550000</v>
      </c>
      <c r="N478" s="29">
        <f t="shared" si="7"/>
        <v>550000</v>
      </c>
    </row>
    <row r="479" spans="1:14" x14ac:dyDescent="0.2">
      <c r="A479" s="2" t="s">
        <v>516</v>
      </c>
      <c r="B479" s="3">
        <v>45730</v>
      </c>
      <c r="C479" s="10" t="s">
        <v>21</v>
      </c>
      <c r="D479" s="10" t="s">
        <v>22</v>
      </c>
      <c r="E479" s="1" t="s">
        <v>36</v>
      </c>
      <c r="F479" s="1" t="s">
        <v>34</v>
      </c>
      <c r="G479">
        <v>75000</v>
      </c>
      <c r="H479" s="1">
        <v>3</v>
      </c>
      <c r="I479" s="1" t="s">
        <v>39</v>
      </c>
      <c r="J479" s="1" t="s">
        <v>37</v>
      </c>
      <c r="K479" s="15">
        <v>225000</v>
      </c>
      <c r="N479" s="29">
        <f t="shared" si="7"/>
        <v>225000</v>
      </c>
    </row>
    <row r="480" spans="1:14" x14ac:dyDescent="0.2">
      <c r="A480" s="2" t="s">
        <v>517</v>
      </c>
      <c r="B480" s="3">
        <v>45732</v>
      </c>
      <c r="C480" s="10" t="s">
        <v>23</v>
      </c>
      <c r="D480" s="10" t="s">
        <v>12</v>
      </c>
      <c r="E480" s="1" t="s">
        <v>47</v>
      </c>
      <c r="F480" s="1" t="s">
        <v>41</v>
      </c>
      <c r="G480">
        <v>375000</v>
      </c>
      <c r="H480" s="1">
        <v>2</v>
      </c>
      <c r="I480" s="1" t="s">
        <v>39</v>
      </c>
      <c r="J480" s="1" t="s">
        <v>37</v>
      </c>
      <c r="K480" s="15">
        <v>750000</v>
      </c>
      <c r="N480" s="29">
        <f t="shared" si="7"/>
        <v>750000</v>
      </c>
    </row>
    <row r="481" spans="1:14" x14ac:dyDescent="0.2">
      <c r="A481" s="2" t="s">
        <v>518</v>
      </c>
      <c r="B481" s="3">
        <v>45722</v>
      </c>
      <c r="C481" s="10" t="s">
        <v>24</v>
      </c>
      <c r="D481" s="10" t="s">
        <v>16</v>
      </c>
      <c r="E481" s="1" t="s">
        <v>26</v>
      </c>
      <c r="F481" s="1" t="s">
        <v>45</v>
      </c>
      <c r="G481">
        <v>240000</v>
      </c>
      <c r="H481" s="1">
        <v>1</v>
      </c>
      <c r="I481" s="1" t="s">
        <v>39</v>
      </c>
      <c r="J481" s="1" t="s">
        <v>29</v>
      </c>
      <c r="K481" s="15">
        <v>240000</v>
      </c>
      <c r="N481" s="29">
        <f t="shared" si="7"/>
        <v>240000</v>
      </c>
    </row>
    <row r="482" spans="1:14" x14ac:dyDescent="0.2">
      <c r="A482" s="2" t="s">
        <v>519</v>
      </c>
      <c r="B482" s="3">
        <v>45752</v>
      </c>
      <c r="C482" s="10" t="s">
        <v>17</v>
      </c>
      <c r="D482" s="10" t="s">
        <v>18</v>
      </c>
      <c r="E482" s="1" t="s">
        <v>31</v>
      </c>
      <c r="F482" s="1" t="s">
        <v>45</v>
      </c>
      <c r="G482">
        <v>300000</v>
      </c>
      <c r="H482" s="1">
        <v>2</v>
      </c>
      <c r="I482" s="1" t="s">
        <v>39</v>
      </c>
      <c r="J482" s="1" t="s">
        <v>29</v>
      </c>
      <c r="K482" s="15">
        <v>600000</v>
      </c>
      <c r="N482" s="29">
        <f t="shared" si="7"/>
        <v>600000</v>
      </c>
    </row>
    <row r="483" spans="1:14" x14ac:dyDescent="0.2">
      <c r="A483" s="2" t="s">
        <v>520</v>
      </c>
      <c r="B483" s="3">
        <v>45798</v>
      </c>
      <c r="C483" s="10" t="s">
        <v>21</v>
      </c>
      <c r="D483" s="10" t="s">
        <v>22</v>
      </c>
      <c r="E483" s="1" t="s">
        <v>26</v>
      </c>
      <c r="F483" s="1" t="s">
        <v>34</v>
      </c>
      <c r="G483">
        <v>75000</v>
      </c>
      <c r="H483" s="1">
        <v>1</v>
      </c>
      <c r="I483" s="1" t="s">
        <v>39</v>
      </c>
      <c r="J483" s="1" t="s">
        <v>37</v>
      </c>
      <c r="K483" s="15">
        <v>75000</v>
      </c>
      <c r="N483" s="29">
        <f t="shared" si="7"/>
        <v>75000</v>
      </c>
    </row>
    <row r="484" spans="1:14" x14ac:dyDescent="0.2">
      <c r="A484" s="2" t="s">
        <v>521</v>
      </c>
      <c r="B484" s="3">
        <v>45789</v>
      </c>
      <c r="C484" s="10" t="s">
        <v>24</v>
      </c>
      <c r="D484" s="10" t="s">
        <v>16</v>
      </c>
      <c r="E484" s="1" t="s">
        <v>31</v>
      </c>
      <c r="F484" s="1" t="s">
        <v>60</v>
      </c>
      <c r="G484">
        <v>240000</v>
      </c>
      <c r="H484" s="1">
        <v>1</v>
      </c>
      <c r="I484" s="1" t="s">
        <v>28</v>
      </c>
      <c r="J484" s="1" t="s">
        <v>29</v>
      </c>
      <c r="K484" s="15">
        <v>240000</v>
      </c>
      <c r="N484" s="29">
        <f t="shared" si="7"/>
        <v>240000</v>
      </c>
    </row>
    <row r="485" spans="1:14" x14ac:dyDescent="0.2">
      <c r="A485" s="2" t="s">
        <v>522</v>
      </c>
      <c r="B485" s="3">
        <v>45697</v>
      </c>
      <c r="C485" s="10" t="s">
        <v>15</v>
      </c>
      <c r="D485" s="10" t="s">
        <v>16</v>
      </c>
      <c r="E485" s="1" t="s">
        <v>26</v>
      </c>
      <c r="F485" s="1" t="s">
        <v>32</v>
      </c>
      <c r="G485">
        <v>225000</v>
      </c>
      <c r="H485" s="1">
        <v>3</v>
      </c>
      <c r="I485" s="1" t="s">
        <v>28</v>
      </c>
      <c r="J485" s="1" t="s">
        <v>29</v>
      </c>
      <c r="K485" s="15">
        <v>675000</v>
      </c>
      <c r="N485" s="29">
        <f t="shared" si="7"/>
        <v>675000</v>
      </c>
    </row>
    <row r="486" spans="1:14" x14ac:dyDescent="0.2">
      <c r="A486" s="2" t="s">
        <v>523</v>
      </c>
      <c r="B486" s="3">
        <v>45716</v>
      </c>
      <c r="C486" s="10" t="s">
        <v>19</v>
      </c>
      <c r="D486" s="10" t="s">
        <v>20</v>
      </c>
      <c r="E486" s="1" t="s">
        <v>26</v>
      </c>
      <c r="F486" s="1" t="s">
        <v>34</v>
      </c>
      <c r="G486">
        <v>250000</v>
      </c>
      <c r="H486" s="1">
        <v>1</v>
      </c>
      <c r="I486" s="1" t="s">
        <v>28</v>
      </c>
      <c r="J486" s="1" t="s">
        <v>29</v>
      </c>
      <c r="K486" s="15">
        <v>250000</v>
      </c>
      <c r="N486" s="29">
        <f t="shared" si="7"/>
        <v>250000</v>
      </c>
    </row>
    <row r="487" spans="1:14" x14ac:dyDescent="0.2">
      <c r="A487" s="2" t="s">
        <v>524</v>
      </c>
      <c r="B487" s="3">
        <v>45722</v>
      </c>
      <c r="C487" s="10" t="s">
        <v>17</v>
      </c>
      <c r="D487" s="10" t="s">
        <v>18</v>
      </c>
      <c r="E487" s="1" t="s">
        <v>47</v>
      </c>
      <c r="F487" s="1" t="s">
        <v>41</v>
      </c>
      <c r="G487">
        <v>300000</v>
      </c>
      <c r="H487" s="1">
        <v>3</v>
      </c>
      <c r="I487" s="1" t="s">
        <v>28</v>
      </c>
      <c r="J487" s="1" t="s">
        <v>29</v>
      </c>
      <c r="K487" s="15">
        <v>900000</v>
      </c>
      <c r="N487" s="29">
        <f t="shared" si="7"/>
        <v>900000</v>
      </c>
    </row>
    <row r="488" spans="1:14" x14ac:dyDescent="0.2">
      <c r="A488" s="2" t="s">
        <v>525</v>
      </c>
      <c r="B488" s="3">
        <v>45813</v>
      </c>
      <c r="C488" s="10" t="s">
        <v>15</v>
      </c>
      <c r="D488" s="10" t="s">
        <v>16</v>
      </c>
      <c r="E488" s="1" t="s">
        <v>26</v>
      </c>
      <c r="F488" s="1" t="s">
        <v>60</v>
      </c>
      <c r="G488">
        <v>225000</v>
      </c>
      <c r="H488" s="1">
        <v>2</v>
      </c>
      <c r="I488" s="1" t="s">
        <v>28</v>
      </c>
      <c r="J488" s="1" t="s">
        <v>37</v>
      </c>
      <c r="K488" s="15">
        <v>450000</v>
      </c>
      <c r="N488" s="29">
        <f t="shared" si="7"/>
        <v>450000</v>
      </c>
    </row>
    <row r="489" spans="1:14" x14ac:dyDescent="0.2">
      <c r="A489" s="2" t="s">
        <v>526</v>
      </c>
      <c r="B489" s="3">
        <v>45694</v>
      </c>
      <c r="C489" s="10" t="s">
        <v>17</v>
      </c>
      <c r="D489" s="10" t="s">
        <v>18</v>
      </c>
      <c r="E489" s="1" t="s">
        <v>26</v>
      </c>
      <c r="F489" s="1" t="s">
        <v>34</v>
      </c>
      <c r="G489">
        <v>300000</v>
      </c>
      <c r="H489" s="1">
        <v>2</v>
      </c>
      <c r="I489" s="1" t="s">
        <v>28</v>
      </c>
      <c r="J489" s="1" t="s">
        <v>29</v>
      </c>
      <c r="K489" s="15">
        <v>600000</v>
      </c>
      <c r="N489" s="29">
        <f t="shared" si="7"/>
        <v>600000</v>
      </c>
    </row>
    <row r="490" spans="1:14" x14ac:dyDescent="0.2">
      <c r="A490" s="2" t="s">
        <v>527</v>
      </c>
      <c r="B490" s="3">
        <v>45764</v>
      </c>
      <c r="C490" s="10" t="s">
        <v>24</v>
      </c>
      <c r="D490" s="10" t="s">
        <v>16</v>
      </c>
      <c r="E490" s="1" t="s">
        <v>36</v>
      </c>
      <c r="F490" s="1" t="s">
        <v>45</v>
      </c>
      <c r="G490">
        <v>240000</v>
      </c>
      <c r="H490" s="1">
        <v>2</v>
      </c>
      <c r="I490" s="1" t="s">
        <v>39</v>
      </c>
      <c r="J490" s="1" t="s">
        <v>37</v>
      </c>
      <c r="K490" s="15">
        <v>480000</v>
      </c>
      <c r="N490" s="29">
        <f t="shared" si="7"/>
        <v>480000</v>
      </c>
    </row>
    <row r="491" spans="1:14" x14ac:dyDescent="0.2">
      <c r="A491" s="2" t="s">
        <v>528</v>
      </c>
      <c r="B491" s="3">
        <v>45789</v>
      </c>
      <c r="C491" s="10" t="s">
        <v>11</v>
      </c>
      <c r="D491" s="10" t="s">
        <v>12</v>
      </c>
      <c r="E491" s="1" t="s">
        <v>31</v>
      </c>
      <c r="F491" s="1" t="s">
        <v>34</v>
      </c>
      <c r="G491">
        <v>350000</v>
      </c>
      <c r="H491" s="1">
        <v>3</v>
      </c>
      <c r="I491" s="1" t="s">
        <v>28</v>
      </c>
      <c r="J491" s="1" t="s">
        <v>29</v>
      </c>
      <c r="K491" s="15">
        <v>1050000</v>
      </c>
      <c r="N491" s="29">
        <f t="shared" si="7"/>
        <v>1050000</v>
      </c>
    </row>
    <row r="492" spans="1:14" x14ac:dyDescent="0.2">
      <c r="A492" s="2" t="s">
        <v>529</v>
      </c>
      <c r="B492" s="3">
        <v>45799</v>
      </c>
      <c r="C492" s="10" t="s">
        <v>24</v>
      </c>
      <c r="D492" s="10" t="s">
        <v>16</v>
      </c>
      <c r="E492" s="1" t="s">
        <v>31</v>
      </c>
      <c r="F492" s="1" t="s">
        <v>27</v>
      </c>
      <c r="G492">
        <v>240000</v>
      </c>
      <c r="H492" s="1">
        <v>3</v>
      </c>
      <c r="I492" s="1" t="s">
        <v>39</v>
      </c>
      <c r="J492" s="1" t="s">
        <v>29</v>
      </c>
      <c r="K492" s="15">
        <v>720000</v>
      </c>
      <c r="N492" s="29">
        <f t="shared" si="7"/>
        <v>720000</v>
      </c>
    </row>
    <row r="493" spans="1:14" x14ac:dyDescent="0.2">
      <c r="A493" s="2" t="s">
        <v>530</v>
      </c>
      <c r="B493" s="3">
        <v>45771</v>
      </c>
      <c r="C493" s="10" t="s">
        <v>23</v>
      </c>
      <c r="D493" s="10" t="s">
        <v>12</v>
      </c>
      <c r="E493" s="1" t="s">
        <v>47</v>
      </c>
      <c r="F493" s="1" t="s">
        <v>27</v>
      </c>
      <c r="G493">
        <v>375000</v>
      </c>
      <c r="H493" s="1">
        <v>1</v>
      </c>
      <c r="I493" s="1" t="s">
        <v>39</v>
      </c>
      <c r="J493" s="1" t="s">
        <v>37</v>
      </c>
      <c r="K493" s="15">
        <v>375000</v>
      </c>
      <c r="N493" s="29">
        <f t="shared" si="7"/>
        <v>375000</v>
      </c>
    </row>
    <row r="494" spans="1:14" x14ac:dyDescent="0.2">
      <c r="A494" s="2" t="s">
        <v>531</v>
      </c>
      <c r="B494" s="3">
        <v>45694</v>
      </c>
      <c r="C494" s="10" t="s">
        <v>19</v>
      </c>
      <c r="D494" s="10" t="s">
        <v>20</v>
      </c>
      <c r="E494" s="1" t="s">
        <v>31</v>
      </c>
      <c r="F494" s="1" t="s">
        <v>27</v>
      </c>
      <c r="G494">
        <v>250000</v>
      </c>
      <c r="H494" s="1">
        <v>3</v>
      </c>
      <c r="I494" s="1" t="s">
        <v>39</v>
      </c>
      <c r="J494" s="1" t="s">
        <v>37</v>
      </c>
      <c r="K494" s="15">
        <v>750000</v>
      </c>
      <c r="N494" s="29">
        <f t="shared" si="7"/>
        <v>750000</v>
      </c>
    </row>
    <row r="495" spans="1:14" x14ac:dyDescent="0.2">
      <c r="A495" s="2" t="s">
        <v>532</v>
      </c>
      <c r="B495" s="3">
        <v>45760</v>
      </c>
      <c r="C495" s="10" t="s">
        <v>23</v>
      </c>
      <c r="D495" s="10" t="s">
        <v>12</v>
      </c>
      <c r="E495" s="1" t="s">
        <v>26</v>
      </c>
      <c r="F495" s="1" t="s">
        <v>34</v>
      </c>
      <c r="G495">
        <v>375000</v>
      </c>
      <c r="H495" s="1">
        <v>2</v>
      </c>
      <c r="I495" s="1" t="s">
        <v>39</v>
      </c>
      <c r="J495" s="1" t="s">
        <v>29</v>
      </c>
      <c r="K495" s="15">
        <v>750000</v>
      </c>
      <c r="N495" s="29">
        <f t="shared" si="7"/>
        <v>750000</v>
      </c>
    </row>
    <row r="496" spans="1:14" x14ac:dyDescent="0.2">
      <c r="A496" s="2" t="s">
        <v>533</v>
      </c>
      <c r="B496" s="3">
        <v>45697</v>
      </c>
      <c r="C496" s="10" t="s">
        <v>21</v>
      </c>
      <c r="D496" s="10" t="s">
        <v>22</v>
      </c>
      <c r="E496" s="1" t="s">
        <v>26</v>
      </c>
      <c r="F496" s="1" t="s">
        <v>27</v>
      </c>
      <c r="G496">
        <v>75000</v>
      </c>
      <c r="H496" s="1">
        <v>3</v>
      </c>
      <c r="I496" s="1" t="s">
        <v>28</v>
      </c>
      <c r="J496" s="1" t="s">
        <v>29</v>
      </c>
      <c r="K496" s="15">
        <v>225000</v>
      </c>
      <c r="N496" s="29">
        <f t="shared" si="7"/>
        <v>225000</v>
      </c>
    </row>
    <row r="497" spans="1:14" x14ac:dyDescent="0.2">
      <c r="A497" s="2" t="s">
        <v>534</v>
      </c>
      <c r="B497" s="3">
        <v>45772</v>
      </c>
      <c r="C497" s="10" t="s">
        <v>23</v>
      </c>
      <c r="D497" s="10" t="s">
        <v>12</v>
      </c>
      <c r="E497" s="1" t="s">
        <v>26</v>
      </c>
      <c r="F497" s="1" t="s">
        <v>32</v>
      </c>
      <c r="G497">
        <v>375000</v>
      </c>
      <c r="H497" s="1">
        <v>1</v>
      </c>
      <c r="I497" s="1" t="s">
        <v>28</v>
      </c>
      <c r="J497" s="1" t="s">
        <v>37</v>
      </c>
      <c r="K497" s="15">
        <v>375000</v>
      </c>
      <c r="N497" s="29">
        <f t="shared" si="7"/>
        <v>375000</v>
      </c>
    </row>
    <row r="498" spans="1:14" x14ac:dyDescent="0.2">
      <c r="A498" s="2" t="s">
        <v>535</v>
      </c>
      <c r="B498" s="3">
        <v>45745</v>
      </c>
      <c r="C498" s="10" t="s">
        <v>13</v>
      </c>
      <c r="D498" s="10" t="s">
        <v>14</v>
      </c>
      <c r="E498" s="1" t="s">
        <v>36</v>
      </c>
      <c r="F498" s="1" t="s">
        <v>60</v>
      </c>
      <c r="G498">
        <v>275000</v>
      </c>
      <c r="H498" s="1">
        <v>1</v>
      </c>
      <c r="I498" s="1" t="s">
        <v>28</v>
      </c>
      <c r="J498" s="1" t="s">
        <v>37</v>
      </c>
      <c r="K498" s="15">
        <v>275000</v>
      </c>
      <c r="N498" s="29">
        <f t="shared" si="7"/>
        <v>275000</v>
      </c>
    </row>
    <row r="499" spans="1:14" x14ac:dyDescent="0.2">
      <c r="A499" s="2" t="s">
        <v>536</v>
      </c>
      <c r="B499" s="3">
        <v>45718</v>
      </c>
      <c r="C499" s="10" t="s">
        <v>24</v>
      </c>
      <c r="D499" s="10" t="s">
        <v>16</v>
      </c>
      <c r="E499" s="1" t="s">
        <v>31</v>
      </c>
      <c r="F499" s="1" t="s">
        <v>34</v>
      </c>
      <c r="G499">
        <v>240000</v>
      </c>
      <c r="H499" s="1">
        <v>2</v>
      </c>
      <c r="I499" s="1" t="s">
        <v>28</v>
      </c>
      <c r="J499" s="1" t="s">
        <v>37</v>
      </c>
      <c r="K499" s="15">
        <v>480000</v>
      </c>
      <c r="N499" s="29">
        <f t="shared" si="7"/>
        <v>480000</v>
      </c>
    </row>
    <row r="500" spans="1:14" x14ac:dyDescent="0.2">
      <c r="A500" s="2" t="s">
        <v>537</v>
      </c>
      <c r="B500" s="3">
        <v>45727</v>
      </c>
      <c r="C500" s="10" t="s">
        <v>13</v>
      </c>
      <c r="D500" s="10" t="s">
        <v>14</v>
      </c>
      <c r="E500" s="1" t="s">
        <v>26</v>
      </c>
      <c r="F500" s="1" t="s">
        <v>45</v>
      </c>
      <c r="G500">
        <v>275000</v>
      </c>
      <c r="H500" s="1">
        <v>1</v>
      </c>
      <c r="I500" s="1" t="s">
        <v>28</v>
      </c>
      <c r="J500" s="1" t="s">
        <v>29</v>
      </c>
      <c r="K500" s="15">
        <v>275000</v>
      </c>
      <c r="N500" s="29">
        <f t="shared" si="7"/>
        <v>275000</v>
      </c>
    </row>
    <row r="501" spans="1:14" x14ac:dyDescent="0.2">
      <c r="A501" s="2" t="s">
        <v>538</v>
      </c>
      <c r="B501" s="3">
        <v>45802</v>
      </c>
      <c r="C501" s="10" t="s">
        <v>15</v>
      </c>
      <c r="D501" s="10" t="s">
        <v>16</v>
      </c>
      <c r="E501" s="1" t="s">
        <v>26</v>
      </c>
      <c r="F501" s="1" t="s">
        <v>60</v>
      </c>
      <c r="G501">
        <v>225000</v>
      </c>
      <c r="H501" s="1">
        <v>2</v>
      </c>
      <c r="I501" s="1" t="s">
        <v>39</v>
      </c>
      <c r="J501" s="1" t="s">
        <v>29</v>
      </c>
      <c r="K501" s="15">
        <v>450000</v>
      </c>
      <c r="N501" s="29">
        <f t="shared" si="7"/>
        <v>450000</v>
      </c>
    </row>
    <row r="502" spans="1:14" x14ac:dyDescent="0.2">
      <c r="A502" s="2" t="s">
        <v>539</v>
      </c>
      <c r="B502" s="3">
        <v>45690</v>
      </c>
      <c r="C502" s="10" t="s">
        <v>24</v>
      </c>
      <c r="D502" s="10" t="s">
        <v>16</v>
      </c>
      <c r="E502" s="1" t="s">
        <v>36</v>
      </c>
      <c r="F502" s="1" t="s">
        <v>34</v>
      </c>
      <c r="G502">
        <v>240000</v>
      </c>
      <c r="H502" s="1">
        <v>2</v>
      </c>
      <c r="I502" s="1" t="s">
        <v>28</v>
      </c>
      <c r="J502" s="1" t="s">
        <v>29</v>
      </c>
      <c r="K502" s="15">
        <v>480000</v>
      </c>
      <c r="N502" s="29">
        <f t="shared" si="7"/>
        <v>480000</v>
      </c>
    </row>
    <row r="503" spans="1:14" x14ac:dyDescent="0.2">
      <c r="A503" s="2" t="s">
        <v>540</v>
      </c>
      <c r="B503" s="3">
        <v>45740</v>
      </c>
      <c r="C503" s="10" t="s">
        <v>23</v>
      </c>
      <c r="D503" s="10" t="s">
        <v>12</v>
      </c>
      <c r="E503" s="1" t="s">
        <v>47</v>
      </c>
      <c r="F503" s="1" t="s">
        <v>60</v>
      </c>
      <c r="G503">
        <v>375000</v>
      </c>
      <c r="H503" s="1">
        <v>1</v>
      </c>
      <c r="I503" s="1" t="s">
        <v>39</v>
      </c>
      <c r="J503" s="1" t="s">
        <v>37</v>
      </c>
      <c r="K503" s="15">
        <v>375000</v>
      </c>
      <c r="N503" s="29">
        <f t="shared" si="7"/>
        <v>375000</v>
      </c>
    </row>
    <row r="504" spans="1:14" x14ac:dyDescent="0.2">
      <c r="A504" s="2" t="s">
        <v>541</v>
      </c>
      <c r="B504" s="3">
        <v>45804</v>
      </c>
      <c r="C504" s="10" t="s">
        <v>17</v>
      </c>
      <c r="D504" s="10" t="s">
        <v>18</v>
      </c>
      <c r="E504" s="1" t="s">
        <v>47</v>
      </c>
      <c r="F504" s="1" t="s">
        <v>34</v>
      </c>
      <c r="G504">
        <v>300000</v>
      </c>
      <c r="H504" s="1">
        <v>2</v>
      </c>
      <c r="I504" s="1" t="s">
        <v>39</v>
      </c>
      <c r="J504" s="1" t="s">
        <v>37</v>
      </c>
      <c r="K504" s="15">
        <v>600000</v>
      </c>
      <c r="N504" s="29">
        <f t="shared" si="7"/>
        <v>600000</v>
      </c>
    </row>
    <row r="505" spans="1:14" x14ac:dyDescent="0.2">
      <c r="A505" s="2" t="s">
        <v>542</v>
      </c>
      <c r="B505" s="3">
        <v>45789</v>
      </c>
      <c r="C505" s="10" t="s">
        <v>11</v>
      </c>
      <c r="D505" s="10" t="s">
        <v>12</v>
      </c>
      <c r="E505" s="1" t="s">
        <v>47</v>
      </c>
      <c r="F505" s="1" t="s">
        <v>41</v>
      </c>
      <c r="G505">
        <v>350000</v>
      </c>
      <c r="H505" s="1">
        <v>2</v>
      </c>
      <c r="I505" s="1" t="s">
        <v>39</v>
      </c>
      <c r="J505" s="1" t="s">
        <v>37</v>
      </c>
      <c r="K505" s="15">
        <v>700000</v>
      </c>
      <c r="N505" s="29">
        <f t="shared" si="7"/>
        <v>700000</v>
      </c>
    </row>
    <row r="506" spans="1:14" x14ac:dyDescent="0.2">
      <c r="A506" s="2" t="s">
        <v>543</v>
      </c>
      <c r="B506" s="3">
        <v>45771</v>
      </c>
      <c r="C506" s="10" t="s">
        <v>17</v>
      </c>
      <c r="D506" s="10" t="s">
        <v>18</v>
      </c>
      <c r="E506" s="1" t="s">
        <v>31</v>
      </c>
      <c r="F506" s="1" t="s">
        <v>34</v>
      </c>
      <c r="G506">
        <v>300000</v>
      </c>
      <c r="H506" s="1">
        <v>1</v>
      </c>
      <c r="I506" s="1" t="s">
        <v>28</v>
      </c>
      <c r="J506" s="1" t="s">
        <v>29</v>
      </c>
      <c r="K506" s="15">
        <v>300000</v>
      </c>
      <c r="N506" s="29">
        <f t="shared" si="7"/>
        <v>300000</v>
      </c>
    </row>
    <row r="507" spans="1:14" x14ac:dyDescent="0.2">
      <c r="A507" s="2" t="s">
        <v>544</v>
      </c>
      <c r="B507" s="3">
        <v>45834</v>
      </c>
      <c r="C507" s="10" t="s">
        <v>17</v>
      </c>
      <c r="D507" s="10" t="s">
        <v>18</v>
      </c>
      <c r="E507" s="1" t="s">
        <v>36</v>
      </c>
      <c r="F507" s="1" t="s">
        <v>34</v>
      </c>
      <c r="G507">
        <v>300000</v>
      </c>
      <c r="H507" s="1">
        <v>3</v>
      </c>
      <c r="I507" s="1" t="s">
        <v>39</v>
      </c>
      <c r="J507" s="1" t="s">
        <v>29</v>
      </c>
      <c r="K507" s="15">
        <v>900000</v>
      </c>
      <c r="N507" s="29">
        <f t="shared" si="7"/>
        <v>900000</v>
      </c>
    </row>
    <row r="508" spans="1:14" x14ac:dyDescent="0.2">
      <c r="A508" s="2" t="s">
        <v>545</v>
      </c>
      <c r="B508" s="3">
        <v>45797</v>
      </c>
      <c r="C508" s="10" t="s">
        <v>19</v>
      </c>
      <c r="D508" s="10" t="s">
        <v>20</v>
      </c>
      <c r="E508" s="1" t="s">
        <v>26</v>
      </c>
      <c r="F508" s="1" t="s">
        <v>27</v>
      </c>
      <c r="G508">
        <v>250000</v>
      </c>
      <c r="H508" s="1">
        <v>2</v>
      </c>
      <c r="I508" s="1" t="s">
        <v>28</v>
      </c>
      <c r="J508" s="1" t="s">
        <v>37</v>
      </c>
      <c r="K508" s="15">
        <v>500000</v>
      </c>
      <c r="N508" s="29">
        <f t="shared" si="7"/>
        <v>500000</v>
      </c>
    </row>
    <row r="509" spans="1:14" x14ac:dyDescent="0.2">
      <c r="A509" s="2" t="s">
        <v>546</v>
      </c>
      <c r="B509" s="3">
        <v>45822</v>
      </c>
      <c r="C509" s="10" t="s">
        <v>24</v>
      </c>
      <c r="D509" s="10" t="s">
        <v>16</v>
      </c>
      <c r="E509" s="1" t="s">
        <v>47</v>
      </c>
      <c r="F509" s="1" t="s">
        <v>60</v>
      </c>
      <c r="G509">
        <v>240000</v>
      </c>
      <c r="H509" s="1">
        <v>2</v>
      </c>
      <c r="I509" s="1" t="s">
        <v>39</v>
      </c>
      <c r="J509" s="1" t="s">
        <v>37</v>
      </c>
      <c r="K509" s="15">
        <v>480000</v>
      </c>
      <c r="N509" s="29">
        <f t="shared" si="7"/>
        <v>480000</v>
      </c>
    </row>
    <row r="510" spans="1:14" x14ac:dyDescent="0.2">
      <c r="A510" s="2" t="s">
        <v>547</v>
      </c>
      <c r="B510" s="3">
        <v>45823</v>
      </c>
      <c r="C510" s="10" t="s">
        <v>13</v>
      </c>
      <c r="D510" s="10" t="s">
        <v>14</v>
      </c>
      <c r="E510" s="1" t="s">
        <v>31</v>
      </c>
      <c r="F510" s="1" t="s">
        <v>45</v>
      </c>
      <c r="G510">
        <v>275000</v>
      </c>
      <c r="H510" s="1">
        <v>2</v>
      </c>
      <c r="I510" s="1" t="s">
        <v>39</v>
      </c>
      <c r="J510" s="1" t="s">
        <v>29</v>
      </c>
      <c r="K510" s="15">
        <v>550000</v>
      </c>
      <c r="N510" s="29">
        <f t="shared" si="7"/>
        <v>550000</v>
      </c>
    </row>
    <row r="511" spans="1:14" x14ac:dyDescent="0.2">
      <c r="A511" s="2" t="s">
        <v>548</v>
      </c>
      <c r="B511" s="3">
        <v>45699</v>
      </c>
      <c r="C511" s="10" t="s">
        <v>21</v>
      </c>
      <c r="D511" s="10" t="s">
        <v>22</v>
      </c>
      <c r="E511" s="1" t="s">
        <v>47</v>
      </c>
      <c r="F511" s="1" t="s">
        <v>32</v>
      </c>
      <c r="G511">
        <v>75000</v>
      </c>
      <c r="H511" s="1">
        <v>3</v>
      </c>
      <c r="I511" s="1" t="s">
        <v>39</v>
      </c>
      <c r="J511" s="1" t="s">
        <v>37</v>
      </c>
      <c r="K511" s="15">
        <v>225000</v>
      </c>
      <c r="N511" s="29">
        <f t="shared" si="7"/>
        <v>225000</v>
      </c>
    </row>
    <row r="512" spans="1:14" x14ac:dyDescent="0.2">
      <c r="A512" s="2" t="s">
        <v>549</v>
      </c>
      <c r="B512" s="3">
        <v>45671</v>
      </c>
      <c r="C512" s="10" t="s">
        <v>21</v>
      </c>
      <c r="D512" s="10" t="s">
        <v>22</v>
      </c>
      <c r="E512" s="1" t="s">
        <v>26</v>
      </c>
      <c r="F512" s="1" t="s">
        <v>45</v>
      </c>
      <c r="G512">
        <v>75000</v>
      </c>
      <c r="H512" s="1">
        <v>1</v>
      </c>
      <c r="I512" s="1" t="s">
        <v>39</v>
      </c>
      <c r="J512" s="1" t="s">
        <v>29</v>
      </c>
      <c r="K512" s="15">
        <v>75000</v>
      </c>
      <c r="N512" s="29">
        <f t="shared" si="7"/>
        <v>75000</v>
      </c>
    </row>
    <row r="513" spans="1:14" x14ac:dyDescent="0.2">
      <c r="A513" s="2" t="s">
        <v>550</v>
      </c>
      <c r="B513" s="3">
        <v>45838</v>
      </c>
      <c r="C513" s="10" t="s">
        <v>13</v>
      </c>
      <c r="D513" s="10" t="s">
        <v>14</v>
      </c>
      <c r="E513" s="1" t="s">
        <v>47</v>
      </c>
      <c r="F513" s="1" t="s">
        <v>60</v>
      </c>
      <c r="G513">
        <v>275000</v>
      </c>
      <c r="H513" s="1">
        <v>2</v>
      </c>
      <c r="I513" s="1" t="s">
        <v>28</v>
      </c>
      <c r="J513" s="1" t="s">
        <v>37</v>
      </c>
      <c r="K513" s="15">
        <v>550000</v>
      </c>
      <c r="N513" s="29">
        <f t="shared" si="7"/>
        <v>550000</v>
      </c>
    </row>
    <row r="514" spans="1:14" x14ac:dyDescent="0.2">
      <c r="A514" s="2" t="s">
        <v>551</v>
      </c>
      <c r="B514" s="3">
        <v>45667</v>
      </c>
      <c r="C514" s="10" t="s">
        <v>11</v>
      </c>
      <c r="D514" s="10" t="s">
        <v>12</v>
      </c>
      <c r="E514" s="1" t="s">
        <v>47</v>
      </c>
      <c r="F514" s="1" t="s">
        <v>34</v>
      </c>
      <c r="G514">
        <v>350000</v>
      </c>
      <c r="H514" s="1">
        <v>1</v>
      </c>
      <c r="I514" s="1" t="s">
        <v>28</v>
      </c>
      <c r="J514" s="1" t="s">
        <v>29</v>
      </c>
      <c r="K514" s="15">
        <v>350000</v>
      </c>
      <c r="N514" s="29">
        <f t="shared" si="7"/>
        <v>350000</v>
      </c>
    </row>
    <row r="515" spans="1:14" x14ac:dyDescent="0.2">
      <c r="A515" s="2" t="s">
        <v>552</v>
      </c>
      <c r="B515" s="3">
        <v>45695</v>
      </c>
      <c r="C515" s="10" t="s">
        <v>11</v>
      </c>
      <c r="D515" s="10" t="s">
        <v>12</v>
      </c>
      <c r="E515" s="1" t="s">
        <v>31</v>
      </c>
      <c r="F515" s="1" t="s">
        <v>32</v>
      </c>
      <c r="G515">
        <v>350000</v>
      </c>
      <c r="H515" s="1">
        <v>3</v>
      </c>
      <c r="I515" s="1" t="s">
        <v>39</v>
      </c>
      <c r="J515" s="1" t="s">
        <v>29</v>
      </c>
      <c r="K515" s="15">
        <v>1050000</v>
      </c>
      <c r="N515" s="29">
        <f t="shared" ref="N515:N578" si="8">G515*H515</f>
        <v>1050000</v>
      </c>
    </row>
    <row r="516" spans="1:14" x14ac:dyDescent="0.2">
      <c r="A516" s="2" t="s">
        <v>553</v>
      </c>
      <c r="B516" s="3">
        <v>45729</v>
      </c>
      <c r="C516" s="10" t="s">
        <v>13</v>
      </c>
      <c r="D516" s="10" t="s">
        <v>14</v>
      </c>
      <c r="E516" s="1" t="s">
        <v>26</v>
      </c>
      <c r="F516" s="1" t="s">
        <v>34</v>
      </c>
      <c r="G516">
        <v>275000</v>
      </c>
      <c r="H516" s="1">
        <v>3</v>
      </c>
      <c r="I516" s="1" t="s">
        <v>28</v>
      </c>
      <c r="J516" s="1" t="s">
        <v>29</v>
      </c>
      <c r="K516" s="15">
        <v>825000</v>
      </c>
      <c r="N516" s="29">
        <f t="shared" si="8"/>
        <v>825000</v>
      </c>
    </row>
    <row r="517" spans="1:14" x14ac:dyDescent="0.2">
      <c r="A517" s="2" t="s">
        <v>554</v>
      </c>
      <c r="B517" s="3">
        <v>45681</v>
      </c>
      <c r="C517" s="10" t="s">
        <v>17</v>
      </c>
      <c r="D517" s="10" t="s">
        <v>18</v>
      </c>
      <c r="E517" s="1" t="s">
        <v>31</v>
      </c>
      <c r="F517" s="1" t="s">
        <v>32</v>
      </c>
      <c r="G517">
        <v>300000</v>
      </c>
      <c r="H517" s="1">
        <v>2</v>
      </c>
      <c r="I517" s="1" t="s">
        <v>39</v>
      </c>
      <c r="J517" s="1" t="s">
        <v>37</v>
      </c>
      <c r="K517" s="15">
        <v>600000</v>
      </c>
      <c r="N517" s="29">
        <f t="shared" si="8"/>
        <v>600000</v>
      </c>
    </row>
    <row r="518" spans="1:14" x14ac:dyDescent="0.2">
      <c r="A518" s="2" t="s">
        <v>555</v>
      </c>
      <c r="B518" s="3">
        <v>45820</v>
      </c>
      <c r="C518" s="10" t="s">
        <v>13</v>
      </c>
      <c r="D518" s="10" t="s">
        <v>14</v>
      </c>
      <c r="E518" s="1" t="s">
        <v>36</v>
      </c>
      <c r="F518" s="1" t="s">
        <v>32</v>
      </c>
      <c r="G518">
        <v>275000</v>
      </c>
      <c r="H518" s="1">
        <v>3</v>
      </c>
      <c r="I518" s="1" t="s">
        <v>39</v>
      </c>
      <c r="J518" s="1" t="s">
        <v>29</v>
      </c>
      <c r="K518" s="15">
        <v>825000</v>
      </c>
      <c r="N518" s="29">
        <f t="shared" si="8"/>
        <v>825000</v>
      </c>
    </row>
    <row r="519" spans="1:14" x14ac:dyDescent="0.2">
      <c r="A519" s="2" t="s">
        <v>556</v>
      </c>
      <c r="B519" s="3">
        <v>45703</v>
      </c>
      <c r="C519" s="10" t="s">
        <v>11</v>
      </c>
      <c r="D519" s="10" t="s">
        <v>12</v>
      </c>
      <c r="E519" s="1" t="s">
        <v>26</v>
      </c>
      <c r="F519" s="1" t="s">
        <v>32</v>
      </c>
      <c r="G519">
        <v>350000</v>
      </c>
      <c r="H519" s="1">
        <v>2</v>
      </c>
      <c r="I519" s="1" t="s">
        <v>39</v>
      </c>
      <c r="J519" s="1" t="s">
        <v>37</v>
      </c>
      <c r="K519" s="15">
        <v>700000</v>
      </c>
      <c r="N519" s="29">
        <f t="shared" si="8"/>
        <v>700000</v>
      </c>
    </row>
    <row r="520" spans="1:14" x14ac:dyDescent="0.2">
      <c r="A520" s="2" t="s">
        <v>557</v>
      </c>
      <c r="B520" s="3">
        <v>45770</v>
      </c>
      <c r="C520" s="10" t="s">
        <v>21</v>
      </c>
      <c r="D520" s="10" t="s">
        <v>22</v>
      </c>
      <c r="E520" s="1" t="s">
        <v>31</v>
      </c>
      <c r="F520" s="1" t="s">
        <v>45</v>
      </c>
      <c r="G520">
        <v>75000</v>
      </c>
      <c r="H520" s="1">
        <v>3</v>
      </c>
      <c r="I520" s="1" t="s">
        <v>39</v>
      </c>
      <c r="J520" s="1" t="s">
        <v>37</v>
      </c>
      <c r="K520" s="15">
        <v>225000</v>
      </c>
      <c r="N520" s="29">
        <f t="shared" si="8"/>
        <v>225000</v>
      </c>
    </row>
    <row r="521" spans="1:14" x14ac:dyDescent="0.2">
      <c r="A521" s="2" t="s">
        <v>558</v>
      </c>
      <c r="B521" s="3">
        <v>45702</v>
      </c>
      <c r="C521" s="10" t="s">
        <v>13</v>
      </c>
      <c r="D521" s="10" t="s">
        <v>14</v>
      </c>
      <c r="E521" s="1" t="s">
        <v>47</v>
      </c>
      <c r="F521" s="1" t="s">
        <v>41</v>
      </c>
      <c r="G521">
        <v>275000</v>
      </c>
      <c r="H521" s="1">
        <v>2</v>
      </c>
      <c r="I521" s="1" t="s">
        <v>39</v>
      </c>
      <c r="J521" s="1" t="s">
        <v>37</v>
      </c>
      <c r="K521" s="15">
        <v>550000</v>
      </c>
      <c r="N521" s="29">
        <f t="shared" si="8"/>
        <v>550000</v>
      </c>
    </row>
    <row r="522" spans="1:14" x14ac:dyDescent="0.2">
      <c r="A522" s="2" t="s">
        <v>559</v>
      </c>
      <c r="B522" s="3">
        <v>45792</v>
      </c>
      <c r="C522" s="10" t="s">
        <v>23</v>
      </c>
      <c r="D522" s="10" t="s">
        <v>12</v>
      </c>
      <c r="E522" s="1" t="s">
        <v>36</v>
      </c>
      <c r="F522" s="1" t="s">
        <v>34</v>
      </c>
      <c r="G522">
        <v>375000</v>
      </c>
      <c r="H522" s="1">
        <v>3</v>
      </c>
      <c r="I522" s="1" t="s">
        <v>39</v>
      </c>
      <c r="J522" s="1" t="s">
        <v>37</v>
      </c>
      <c r="K522" s="15">
        <v>1125000</v>
      </c>
      <c r="N522" s="29">
        <f t="shared" si="8"/>
        <v>1125000</v>
      </c>
    </row>
    <row r="523" spans="1:14" x14ac:dyDescent="0.2">
      <c r="A523" s="2" t="s">
        <v>560</v>
      </c>
      <c r="B523" s="3">
        <v>45747</v>
      </c>
      <c r="C523" s="10" t="s">
        <v>24</v>
      </c>
      <c r="D523" s="10" t="s">
        <v>16</v>
      </c>
      <c r="E523" s="1" t="s">
        <v>26</v>
      </c>
      <c r="F523" s="1" t="s">
        <v>32</v>
      </c>
      <c r="G523">
        <v>240000</v>
      </c>
      <c r="H523" s="1">
        <v>3</v>
      </c>
      <c r="I523" s="1" t="s">
        <v>39</v>
      </c>
      <c r="J523" s="1" t="s">
        <v>37</v>
      </c>
      <c r="K523" s="15">
        <v>720000</v>
      </c>
      <c r="N523" s="29">
        <f t="shared" si="8"/>
        <v>720000</v>
      </c>
    </row>
    <row r="524" spans="1:14" x14ac:dyDescent="0.2">
      <c r="A524" s="2" t="s">
        <v>561</v>
      </c>
      <c r="B524" s="3">
        <v>45788</v>
      </c>
      <c r="C524" s="10" t="s">
        <v>17</v>
      </c>
      <c r="D524" s="10" t="s">
        <v>18</v>
      </c>
      <c r="E524" s="1" t="s">
        <v>26</v>
      </c>
      <c r="F524" s="1" t="s">
        <v>41</v>
      </c>
      <c r="G524">
        <v>300000</v>
      </c>
      <c r="H524" s="1">
        <v>3</v>
      </c>
      <c r="I524" s="1" t="s">
        <v>28</v>
      </c>
      <c r="J524" s="1" t="s">
        <v>37</v>
      </c>
      <c r="K524" s="15">
        <v>900000</v>
      </c>
      <c r="N524" s="29">
        <f t="shared" si="8"/>
        <v>900000</v>
      </c>
    </row>
    <row r="525" spans="1:14" x14ac:dyDescent="0.2">
      <c r="A525" s="2" t="s">
        <v>562</v>
      </c>
      <c r="B525" s="3">
        <v>45683</v>
      </c>
      <c r="C525" s="10" t="s">
        <v>24</v>
      </c>
      <c r="D525" s="10" t="s">
        <v>16</v>
      </c>
      <c r="E525" s="1" t="s">
        <v>36</v>
      </c>
      <c r="F525" s="1" t="s">
        <v>45</v>
      </c>
      <c r="G525">
        <v>240000</v>
      </c>
      <c r="H525" s="1">
        <v>1</v>
      </c>
      <c r="I525" s="1" t="s">
        <v>28</v>
      </c>
      <c r="J525" s="1" t="s">
        <v>29</v>
      </c>
      <c r="K525" s="15">
        <v>240000</v>
      </c>
      <c r="N525" s="29">
        <f t="shared" si="8"/>
        <v>240000</v>
      </c>
    </row>
    <row r="526" spans="1:14" x14ac:dyDescent="0.2">
      <c r="A526" s="2" t="s">
        <v>563</v>
      </c>
      <c r="B526" s="3">
        <v>45737</v>
      </c>
      <c r="C526" s="10" t="s">
        <v>24</v>
      </c>
      <c r="D526" s="10" t="s">
        <v>16</v>
      </c>
      <c r="E526" s="1" t="s">
        <v>47</v>
      </c>
      <c r="F526" s="1" t="s">
        <v>45</v>
      </c>
      <c r="G526">
        <v>240000</v>
      </c>
      <c r="H526" s="1">
        <v>3</v>
      </c>
      <c r="I526" s="1" t="s">
        <v>39</v>
      </c>
      <c r="J526" s="1" t="s">
        <v>37</v>
      </c>
      <c r="K526" s="15">
        <v>720000</v>
      </c>
      <c r="N526" s="29">
        <f t="shared" si="8"/>
        <v>720000</v>
      </c>
    </row>
    <row r="527" spans="1:14" x14ac:dyDescent="0.2">
      <c r="A527" s="2" t="s">
        <v>564</v>
      </c>
      <c r="B527" s="3">
        <v>45787</v>
      </c>
      <c r="C527" s="10" t="s">
        <v>15</v>
      </c>
      <c r="D527" s="10" t="s">
        <v>16</v>
      </c>
      <c r="E527" s="1" t="s">
        <v>31</v>
      </c>
      <c r="F527" s="1" t="s">
        <v>27</v>
      </c>
      <c r="G527">
        <v>225000</v>
      </c>
      <c r="H527" s="1">
        <v>2</v>
      </c>
      <c r="I527" s="1" t="s">
        <v>39</v>
      </c>
      <c r="J527" s="1" t="s">
        <v>29</v>
      </c>
      <c r="K527" s="15">
        <v>450000</v>
      </c>
      <c r="N527" s="29">
        <f t="shared" si="8"/>
        <v>450000</v>
      </c>
    </row>
    <row r="528" spans="1:14" x14ac:dyDescent="0.2">
      <c r="A528" s="2" t="s">
        <v>565</v>
      </c>
      <c r="B528" s="3">
        <v>45720</v>
      </c>
      <c r="C528" s="10" t="s">
        <v>23</v>
      </c>
      <c r="D528" s="10" t="s">
        <v>12</v>
      </c>
      <c r="E528" s="1" t="s">
        <v>36</v>
      </c>
      <c r="F528" s="1" t="s">
        <v>41</v>
      </c>
      <c r="G528">
        <v>375000</v>
      </c>
      <c r="H528" s="1">
        <v>3</v>
      </c>
      <c r="I528" s="1" t="s">
        <v>28</v>
      </c>
      <c r="J528" s="1" t="s">
        <v>37</v>
      </c>
      <c r="K528" s="15">
        <v>1125000</v>
      </c>
      <c r="N528" s="29">
        <f t="shared" si="8"/>
        <v>1125000</v>
      </c>
    </row>
    <row r="529" spans="1:14" x14ac:dyDescent="0.2">
      <c r="A529" s="2" t="s">
        <v>566</v>
      </c>
      <c r="B529" s="3">
        <v>45681</v>
      </c>
      <c r="C529" s="10" t="s">
        <v>13</v>
      </c>
      <c r="D529" s="10" t="s">
        <v>14</v>
      </c>
      <c r="E529" s="1" t="s">
        <v>26</v>
      </c>
      <c r="F529" s="1" t="s">
        <v>27</v>
      </c>
      <c r="G529">
        <v>275000</v>
      </c>
      <c r="H529" s="1">
        <v>3</v>
      </c>
      <c r="I529" s="1" t="s">
        <v>39</v>
      </c>
      <c r="J529" s="1" t="s">
        <v>29</v>
      </c>
      <c r="K529" s="15">
        <v>825000</v>
      </c>
      <c r="N529" s="29">
        <f t="shared" si="8"/>
        <v>825000</v>
      </c>
    </row>
    <row r="530" spans="1:14" x14ac:dyDescent="0.2">
      <c r="A530" s="2" t="s">
        <v>567</v>
      </c>
      <c r="B530" s="3">
        <v>45701</v>
      </c>
      <c r="C530" s="10" t="s">
        <v>19</v>
      </c>
      <c r="D530" s="10" t="s">
        <v>20</v>
      </c>
      <c r="E530" s="1" t="s">
        <v>36</v>
      </c>
      <c r="F530" s="1" t="s">
        <v>27</v>
      </c>
      <c r="G530">
        <v>250000</v>
      </c>
      <c r="H530" s="1">
        <v>3</v>
      </c>
      <c r="I530" s="1" t="s">
        <v>39</v>
      </c>
      <c r="J530" s="1" t="s">
        <v>37</v>
      </c>
      <c r="K530" s="15">
        <v>750000</v>
      </c>
      <c r="N530" s="29">
        <f t="shared" si="8"/>
        <v>750000</v>
      </c>
    </row>
    <row r="531" spans="1:14" x14ac:dyDescent="0.2">
      <c r="A531" s="2" t="s">
        <v>568</v>
      </c>
      <c r="B531" s="3">
        <v>45673</v>
      </c>
      <c r="C531" s="10" t="s">
        <v>24</v>
      </c>
      <c r="D531" s="10" t="s">
        <v>16</v>
      </c>
      <c r="E531" s="1" t="s">
        <v>47</v>
      </c>
      <c r="F531" s="1" t="s">
        <v>41</v>
      </c>
      <c r="G531">
        <v>240000</v>
      </c>
      <c r="H531" s="1">
        <v>1</v>
      </c>
      <c r="I531" s="1" t="s">
        <v>39</v>
      </c>
      <c r="J531" s="1" t="s">
        <v>29</v>
      </c>
      <c r="K531" s="15">
        <v>240000</v>
      </c>
      <c r="N531" s="29">
        <f t="shared" si="8"/>
        <v>240000</v>
      </c>
    </row>
    <row r="532" spans="1:14" x14ac:dyDescent="0.2">
      <c r="A532" s="2" t="s">
        <v>569</v>
      </c>
      <c r="B532" s="3">
        <v>45794</v>
      </c>
      <c r="C532" s="10" t="s">
        <v>15</v>
      </c>
      <c r="D532" s="10" t="s">
        <v>16</v>
      </c>
      <c r="E532" s="1" t="s">
        <v>36</v>
      </c>
      <c r="F532" s="1" t="s">
        <v>32</v>
      </c>
      <c r="G532">
        <v>225000</v>
      </c>
      <c r="H532" s="1">
        <v>2</v>
      </c>
      <c r="I532" s="1" t="s">
        <v>39</v>
      </c>
      <c r="J532" s="1" t="s">
        <v>37</v>
      </c>
      <c r="K532" s="15">
        <v>450000</v>
      </c>
      <c r="N532" s="29">
        <f t="shared" si="8"/>
        <v>450000</v>
      </c>
    </row>
    <row r="533" spans="1:14" x14ac:dyDescent="0.2">
      <c r="A533" s="2" t="s">
        <v>570</v>
      </c>
      <c r="B533" s="3">
        <v>45808</v>
      </c>
      <c r="C533" s="10" t="s">
        <v>23</v>
      </c>
      <c r="D533" s="10" t="s">
        <v>12</v>
      </c>
      <c r="E533" s="1" t="s">
        <v>31</v>
      </c>
      <c r="F533" s="1" t="s">
        <v>41</v>
      </c>
      <c r="G533">
        <v>375000</v>
      </c>
      <c r="H533" s="1">
        <v>1</v>
      </c>
      <c r="I533" s="1" t="s">
        <v>39</v>
      </c>
      <c r="J533" s="1" t="s">
        <v>29</v>
      </c>
      <c r="K533" s="15">
        <v>375000</v>
      </c>
      <c r="N533" s="29">
        <f t="shared" si="8"/>
        <v>375000</v>
      </c>
    </row>
    <row r="534" spans="1:14" x14ac:dyDescent="0.2">
      <c r="A534" s="2" t="s">
        <v>571</v>
      </c>
      <c r="B534" s="3">
        <v>45683</v>
      </c>
      <c r="C534" s="10" t="s">
        <v>13</v>
      </c>
      <c r="D534" s="10" t="s">
        <v>14</v>
      </c>
      <c r="E534" s="1" t="s">
        <v>36</v>
      </c>
      <c r="F534" s="1" t="s">
        <v>27</v>
      </c>
      <c r="G534">
        <v>275000</v>
      </c>
      <c r="H534" s="1">
        <v>2</v>
      </c>
      <c r="I534" s="1" t="s">
        <v>28</v>
      </c>
      <c r="J534" s="1" t="s">
        <v>29</v>
      </c>
      <c r="K534" s="15">
        <v>550000</v>
      </c>
      <c r="N534" s="29">
        <f t="shared" si="8"/>
        <v>550000</v>
      </c>
    </row>
    <row r="535" spans="1:14" x14ac:dyDescent="0.2">
      <c r="A535" s="2" t="s">
        <v>572</v>
      </c>
      <c r="B535" s="3">
        <v>45700</v>
      </c>
      <c r="C535" s="10" t="s">
        <v>17</v>
      </c>
      <c r="D535" s="10" t="s">
        <v>18</v>
      </c>
      <c r="E535" s="1" t="s">
        <v>36</v>
      </c>
      <c r="F535" s="1" t="s">
        <v>34</v>
      </c>
      <c r="G535">
        <v>300000</v>
      </c>
      <c r="H535" s="1">
        <v>1</v>
      </c>
      <c r="I535" s="1" t="s">
        <v>28</v>
      </c>
      <c r="J535" s="1" t="s">
        <v>37</v>
      </c>
      <c r="K535" s="15">
        <v>300000</v>
      </c>
      <c r="N535" s="29">
        <f t="shared" si="8"/>
        <v>300000</v>
      </c>
    </row>
    <row r="536" spans="1:14" x14ac:dyDescent="0.2">
      <c r="A536" s="2" t="s">
        <v>573</v>
      </c>
      <c r="B536" s="3">
        <v>45829</v>
      </c>
      <c r="C536" s="10" t="s">
        <v>17</v>
      </c>
      <c r="D536" s="10" t="s">
        <v>18</v>
      </c>
      <c r="E536" s="1" t="s">
        <v>31</v>
      </c>
      <c r="F536" s="1" t="s">
        <v>45</v>
      </c>
      <c r="G536">
        <v>300000</v>
      </c>
      <c r="H536" s="1">
        <v>2</v>
      </c>
      <c r="I536" s="1" t="s">
        <v>28</v>
      </c>
      <c r="J536" s="1" t="s">
        <v>37</v>
      </c>
      <c r="K536" s="15">
        <v>600000</v>
      </c>
      <c r="N536" s="29">
        <f t="shared" si="8"/>
        <v>600000</v>
      </c>
    </row>
    <row r="537" spans="1:14" x14ac:dyDescent="0.2">
      <c r="A537" s="2" t="s">
        <v>574</v>
      </c>
      <c r="B537" s="3">
        <v>45773</v>
      </c>
      <c r="C537" s="10" t="s">
        <v>11</v>
      </c>
      <c r="D537" s="10" t="s">
        <v>12</v>
      </c>
      <c r="E537" s="1" t="s">
        <v>36</v>
      </c>
      <c r="F537" s="1" t="s">
        <v>41</v>
      </c>
      <c r="G537">
        <v>350000</v>
      </c>
      <c r="H537" s="1">
        <v>3</v>
      </c>
      <c r="I537" s="1" t="s">
        <v>39</v>
      </c>
      <c r="J537" s="1" t="s">
        <v>29</v>
      </c>
      <c r="K537" s="15">
        <v>1050000</v>
      </c>
      <c r="N537" s="29">
        <f t="shared" si="8"/>
        <v>1050000</v>
      </c>
    </row>
    <row r="538" spans="1:14" x14ac:dyDescent="0.2">
      <c r="A538" s="2" t="s">
        <v>575</v>
      </c>
      <c r="B538" s="3">
        <v>45772</v>
      </c>
      <c r="C538" s="10" t="s">
        <v>13</v>
      </c>
      <c r="D538" s="10" t="s">
        <v>14</v>
      </c>
      <c r="E538" s="1" t="s">
        <v>31</v>
      </c>
      <c r="F538" s="1" t="s">
        <v>41</v>
      </c>
      <c r="G538">
        <v>275000</v>
      </c>
      <c r="H538" s="1">
        <v>3</v>
      </c>
      <c r="I538" s="1" t="s">
        <v>28</v>
      </c>
      <c r="J538" s="1" t="s">
        <v>29</v>
      </c>
      <c r="K538" s="15">
        <v>825000</v>
      </c>
      <c r="N538" s="29">
        <f t="shared" si="8"/>
        <v>825000</v>
      </c>
    </row>
    <row r="539" spans="1:14" x14ac:dyDescent="0.2">
      <c r="A539" s="2" t="s">
        <v>576</v>
      </c>
      <c r="B539" s="3">
        <v>45775</v>
      </c>
      <c r="C539" s="10" t="s">
        <v>21</v>
      </c>
      <c r="D539" s="10" t="s">
        <v>22</v>
      </c>
      <c r="E539" s="1" t="s">
        <v>31</v>
      </c>
      <c r="F539" s="1" t="s">
        <v>41</v>
      </c>
      <c r="G539">
        <v>75000</v>
      </c>
      <c r="H539" s="1">
        <v>1</v>
      </c>
      <c r="I539" s="1" t="s">
        <v>39</v>
      </c>
      <c r="J539" s="1" t="s">
        <v>29</v>
      </c>
      <c r="K539" s="15">
        <v>75000</v>
      </c>
      <c r="N539" s="29">
        <f t="shared" si="8"/>
        <v>75000</v>
      </c>
    </row>
    <row r="540" spans="1:14" x14ac:dyDescent="0.2">
      <c r="A540" s="2" t="s">
        <v>577</v>
      </c>
      <c r="B540" s="3">
        <v>45775</v>
      </c>
      <c r="C540" s="10" t="s">
        <v>17</v>
      </c>
      <c r="D540" s="10" t="s">
        <v>18</v>
      </c>
      <c r="E540" s="1" t="s">
        <v>47</v>
      </c>
      <c r="F540" s="1" t="s">
        <v>45</v>
      </c>
      <c r="G540">
        <v>300000</v>
      </c>
      <c r="H540" s="1">
        <v>3</v>
      </c>
      <c r="I540" s="1" t="s">
        <v>28</v>
      </c>
      <c r="J540" s="1" t="s">
        <v>37</v>
      </c>
      <c r="K540" s="15">
        <v>900000</v>
      </c>
      <c r="N540" s="29">
        <f t="shared" si="8"/>
        <v>900000</v>
      </c>
    </row>
    <row r="541" spans="1:14" x14ac:dyDescent="0.2">
      <c r="A541" s="2" t="s">
        <v>578</v>
      </c>
      <c r="B541" s="3">
        <v>45819</v>
      </c>
      <c r="C541" s="10" t="s">
        <v>15</v>
      </c>
      <c r="D541" s="10" t="s">
        <v>16</v>
      </c>
      <c r="E541" s="1" t="s">
        <v>36</v>
      </c>
      <c r="F541" s="1" t="s">
        <v>27</v>
      </c>
      <c r="G541">
        <v>225000</v>
      </c>
      <c r="H541" s="1">
        <v>3</v>
      </c>
      <c r="I541" s="1" t="s">
        <v>28</v>
      </c>
      <c r="J541" s="1" t="s">
        <v>29</v>
      </c>
      <c r="K541" s="15">
        <v>675000</v>
      </c>
      <c r="N541" s="29">
        <f t="shared" si="8"/>
        <v>675000</v>
      </c>
    </row>
    <row r="542" spans="1:14" x14ac:dyDescent="0.2">
      <c r="A542" s="2" t="s">
        <v>579</v>
      </c>
      <c r="B542" s="3">
        <v>45737</v>
      </c>
      <c r="C542" s="10" t="s">
        <v>24</v>
      </c>
      <c r="D542" s="10" t="s">
        <v>16</v>
      </c>
      <c r="E542" s="1" t="s">
        <v>36</v>
      </c>
      <c r="F542" s="1" t="s">
        <v>60</v>
      </c>
      <c r="G542">
        <v>240000</v>
      </c>
      <c r="H542" s="1">
        <v>1</v>
      </c>
      <c r="I542" s="1" t="s">
        <v>28</v>
      </c>
      <c r="J542" s="1" t="s">
        <v>37</v>
      </c>
      <c r="K542" s="15">
        <v>240000</v>
      </c>
      <c r="N542" s="29">
        <f t="shared" si="8"/>
        <v>240000</v>
      </c>
    </row>
    <row r="543" spans="1:14" x14ac:dyDescent="0.2">
      <c r="A543" s="2" t="s">
        <v>580</v>
      </c>
      <c r="B543" s="3">
        <v>45743</v>
      </c>
      <c r="C543" s="10" t="s">
        <v>23</v>
      </c>
      <c r="D543" s="10" t="s">
        <v>12</v>
      </c>
      <c r="E543" s="1" t="s">
        <v>31</v>
      </c>
      <c r="F543" s="1" t="s">
        <v>45</v>
      </c>
      <c r="G543">
        <v>375000</v>
      </c>
      <c r="H543" s="1">
        <v>2</v>
      </c>
      <c r="I543" s="1" t="s">
        <v>28</v>
      </c>
      <c r="J543" s="1" t="s">
        <v>37</v>
      </c>
      <c r="K543" s="15">
        <v>750000</v>
      </c>
      <c r="N543" s="29">
        <f t="shared" si="8"/>
        <v>750000</v>
      </c>
    </row>
    <row r="544" spans="1:14" x14ac:dyDescent="0.2">
      <c r="A544" s="2" t="s">
        <v>581</v>
      </c>
      <c r="B544" s="3">
        <v>45783</v>
      </c>
      <c r="C544" s="10" t="s">
        <v>23</v>
      </c>
      <c r="D544" s="10" t="s">
        <v>12</v>
      </c>
      <c r="E544" s="1" t="s">
        <v>36</v>
      </c>
      <c r="F544" s="1" t="s">
        <v>41</v>
      </c>
      <c r="G544">
        <v>375000</v>
      </c>
      <c r="H544" s="1">
        <v>2</v>
      </c>
      <c r="I544" s="1" t="s">
        <v>28</v>
      </c>
      <c r="J544" s="1" t="s">
        <v>37</v>
      </c>
      <c r="K544" s="15">
        <v>750000</v>
      </c>
      <c r="N544" s="29">
        <f t="shared" si="8"/>
        <v>750000</v>
      </c>
    </row>
    <row r="545" spans="1:14" x14ac:dyDescent="0.2">
      <c r="A545" s="2" t="s">
        <v>582</v>
      </c>
      <c r="B545" s="3">
        <v>45714</v>
      </c>
      <c r="C545" s="10" t="s">
        <v>19</v>
      </c>
      <c r="D545" s="10" t="s">
        <v>20</v>
      </c>
      <c r="E545" s="1" t="s">
        <v>26</v>
      </c>
      <c r="F545" s="1" t="s">
        <v>60</v>
      </c>
      <c r="G545">
        <v>250000</v>
      </c>
      <c r="H545" s="1">
        <v>1</v>
      </c>
      <c r="I545" s="1" t="s">
        <v>28</v>
      </c>
      <c r="J545" s="1" t="s">
        <v>29</v>
      </c>
      <c r="K545" s="15">
        <v>250000</v>
      </c>
      <c r="N545" s="29">
        <f t="shared" si="8"/>
        <v>250000</v>
      </c>
    </row>
    <row r="546" spans="1:14" x14ac:dyDescent="0.2">
      <c r="A546" s="2" t="s">
        <v>583</v>
      </c>
      <c r="B546" s="3">
        <v>45701</v>
      </c>
      <c r="C546" s="10" t="s">
        <v>13</v>
      </c>
      <c r="D546" s="10" t="s">
        <v>14</v>
      </c>
      <c r="E546" s="1" t="s">
        <v>36</v>
      </c>
      <c r="F546" s="1" t="s">
        <v>27</v>
      </c>
      <c r="G546">
        <v>275000</v>
      </c>
      <c r="H546" s="1">
        <v>1</v>
      </c>
      <c r="I546" s="1" t="s">
        <v>39</v>
      </c>
      <c r="J546" s="1" t="s">
        <v>29</v>
      </c>
      <c r="K546" s="15">
        <v>275000</v>
      </c>
      <c r="N546" s="29">
        <f t="shared" si="8"/>
        <v>275000</v>
      </c>
    </row>
    <row r="547" spans="1:14" x14ac:dyDescent="0.2">
      <c r="A547" s="2" t="s">
        <v>584</v>
      </c>
      <c r="B547" s="3">
        <v>45720</v>
      </c>
      <c r="C547" s="10" t="s">
        <v>21</v>
      </c>
      <c r="D547" s="10" t="s">
        <v>22</v>
      </c>
      <c r="E547" s="1" t="s">
        <v>26</v>
      </c>
      <c r="F547" s="1" t="s">
        <v>34</v>
      </c>
      <c r="G547">
        <v>75000</v>
      </c>
      <c r="H547" s="1">
        <v>3</v>
      </c>
      <c r="I547" s="1" t="s">
        <v>39</v>
      </c>
      <c r="J547" s="1" t="s">
        <v>37</v>
      </c>
      <c r="K547" s="15">
        <v>225000</v>
      </c>
      <c r="N547" s="29">
        <f t="shared" si="8"/>
        <v>225000</v>
      </c>
    </row>
    <row r="548" spans="1:14" x14ac:dyDescent="0.2">
      <c r="A548" s="2" t="s">
        <v>585</v>
      </c>
      <c r="B548" s="3">
        <v>45778</v>
      </c>
      <c r="C548" s="10" t="s">
        <v>19</v>
      </c>
      <c r="D548" s="10" t="s">
        <v>20</v>
      </c>
      <c r="E548" s="1" t="s">
        <v>36</v>
      </c>
      <c r="F548" s="1" t="s">
        <v>32</v>
      </c>
      <c r="G548">
        <v>250000</v>
      </c>
      <c r="H548" s="1">
        <v>3</v>
      </c>
      <c r="I548" s="1" t="s">
        <v>39</v>
      </c>
      <c r="J548" s="1" t="s">
        <v>37</v>
      </c>
      <c r="K548" s="15">
        <v>750000</v>
      </c>
      <c r="N548" s="29">
        <f t="shared" si="8"/>
        <v>750000</v>
      </c>
    </row>
    <row r="549" spans="1:14" x14ac:dyDescent="0.2">
      <c r="A549" s="2" t="s">
        <v>586</v>
      </c>
      <c r="B549" s="3">
        <v>45805</v>
      </c>
      <c r="C549" s="10" t="s">
        <v>11</v>
      </c>
      <c r="D549" s="10" t="s">
        <v>12</v>
      </c>
      <c r="E549" s="1" t="s">
        <v>31</v>
      </c>
      <c r="F549" s="1" t="s">
        <v>60</v>
      </c>
      <c r="G549">
        <v>350000</v>
      </c>
      <c r="H549" s="1">
        <v>3</v>
      </c>
      <c r="I549" s="1" t="s">
        <v>28</v>
      </c>
      <c r="J549" s="1" t="s">
        <v>37</v>
      </c>
      <c r="K549" s="15">
        <v>1050000</v>
      </c>
      <c r="N549" s="29">
        <f t="shared" si="8"/>
        <v>1050000</v>
      </c>
    </row>
    <row r="550" spans="1:14" x14ac:dyDescent="0.2">
      <c r="A550" s="2" t="s">
        <v>587</v>
      </c>
      <c r="B550" s="3">
        <v>45668</v>
      </c>
      <c r="C550" s="10" t="s">
        <v>13</v>
      </c>
      <c r="D550" s="10" t="s">
        <v>14</v>
      </c>
      <c r="E550" s="1" t="s">
        <v>31</v>
      </c>
      <c r="F550" s="1" t="s">
        <v>34</v>
      </c>
      <c r="G550">
        <v>275000</v>
      </c>
      <c r="H550" s="1">
        <v>2</v>
      </c>
      <c r="I550" s="1" t="s">
        <v>28</v>
      </c>
      <c r="J550" s="1" t="s">
        <v>29</v>
      </c>
      <c r="K550" s="15">
        <v>550000</v>
      </c>
      <c r="N550" s="29">
        <f t="shared" si="8"/>
        <v>550000</v>
      </c>
    </row>
    <row r="551" spans="1:14" x14ac:dyDescent="0.2">
      <c r="A551" s="2" t="s">
        <v>588</v>
      </c>
      <c r="B551" s="3">
        <v>45807</v>
      </c>
      <c r="C551" s="10" t="s">
        <v>13</v>
      </c>
      <c r="D551" s="10" t="s">
        <v>14</v>
      </c>
      <c r="E551" s="1" t="s">
        <v>47</v>
      </c>
      <c r="F551" s="1" t="s">
        <v>41</v>
      </c>
      <c r="G551">
        <v>275000</v>
      </c>
      <c r="H551" s="1">
        <v>2</v>
      </c>
      <c r="I551" s="1" t="s">
        <v>28</v>
      </c>
      <c r="J551" s="1" t="s">
        <v>37</v>
      </c>
      <c r="K551" s="15">
        <v>550000</v>
      </c>
      <c r="N551" s="29">
        <f t="shared" si="8"/>
        <v>550000</v>
      </c>
    </row>
    <row r="552" spans="1:14" x14ac:dyDescent="0.2">
      <c r="A552" s="2" t="s">
        <v>589</v>
      </c>
      <c r="B552" s="3">
        <v>45707</v>
      </c>
      <c r="C552" s="10" t="s">
        <v>21</v>
      </c>
      <c r="D552" s="10" t="s">
        <v>22</v>
      </c>
      <c r="E552" s="1" t="s">
        <v>36</v>
      </c>
      <c r="F552" s="1" t="s">
        <v>32</v>
      </c>
      <c r="G552">
        <v>75000</v>
      </c>
      <c r="H552" s="1">
        <v>3</v>
      </c>
      <c r="I552" s="1" t="s">
        <v>39</v>
      </c>
      <c r="J552" s="1" t="s">
        <v>29</v>
      </c>
      <c r="K552" s="15">
        <v>225000</v>
      </c>
      <c r="N552" s="29">
        <f t="shared" si="8"/>
        <v>225000</v>
      </c>
    </row>
    <row r="553" spans="1:14" x14ac:dyDescent="0.2">
      <c r="A553" s="2" t="s">
        <v>590</v>
      </c>
      <c r="B553" s="3">
        <v>45718</v>
      </c>
      <c r="C553" s="10" t="s">
        <v>11</v>
      </c>
      <c r="D553" s="10" t="s">
        <v>12</v>
      </c>
      <c r="E553" s="1" t="s">
        <v>26</v>
      </c>
      <c r="F553" s="1" t="s">
        <v>41</v>
      </c>
      <c r="G553">
        <v>350000</v>
      </c>
      <c r="H553" s="1">
        <v>3</v>
      </c>
      <c r="I553" s="1" t="s">
        <v>28</v>
      </c>
      <c r="J553" s="1" t="s">
        <v>37</v>
      </c>
      <c r="K553" s="15">
        <v>1050000</v>
      </c>
      <c r="N553" s="29">
        <f t="shared" si="8"/>
        <v>1050000</v>
      </c>
    </row>
    <row r="554" spans="1:14" x14ac:dyDescent="0.2">
      <c r="A554" s="2" t="s">
        <v>591</v>
      </c>
      <c r="B554" s="3">
        <v>45734</v>
      </c>
      <c r="C554" s="10" t="s">
        <v>19</v>
      </c>
      <c r="D554" s="10" t="s">
        <v>20</v>
      </c>
      <c r="E554" s="1" t="s">
        <v>31</v>
      </c>
      <c r="F554" s="1" t="s">
        <v>32</v>
      </c>
      <c r="G554">
        <v>250000</v>
      </c>
      <c r="H554" s="1">
        <v>1</v>
      </c>
      <c r="I554" s="1" t="s">
        <v>28</v>
      </c>
      <c r="J554" s="1" t="s">
        <v>29</v>
      </c>
      <c r="K554" s="15">
        <v>250000</v>
      </c>
      <c r="N554" s="29">
        <f t="shared" si="8"/>
        <v>250000</v>
      </c>
    </row>
    <row r="555" spans="1:14" x14ac:dyDescent="0.2">
      <c r="A555" s="2" t="s">
        <v>592</v>
      </c>
      <c r="B555" s="3">
        <v>45831</v>
      </c>
      <c r="C555" s="10" t="s">
        <v>17</v>
      </c>
      <c r="D555" s="10" t="s">
        <v>18</v>
      </c>
      <c r="E555" s="1" t="s">
        <v>26</v>
      </c>
      <c r="F555" s="1" t="s">
        <v>27</v>
      </c>
      <c r="G555">
        <v>300000</v>
      </c>
      <c r="H555" s="1">
        <v>1</v>
      </c>
      <c r="I555" s="1" t="s">
        <v>39</v>
      </c>
      <c r="J555" s="1" t="s">
        <v>29</v>
      </c>
      <c r="K555" s="15">
        <v>300000</v>
      </c>
      <c r="N555" s="29">
        <f t="shared" si="8"/>
        <v>300000</v>
      </c>
    </row>
    <row r="556" spans="1:14" x14ac:dyDescent="0.2">
      <c r="A556" s="2" t="s">
        <v>593</v>
      </c>
      <c r="B556" s="3">
        <v>45749</v>
      </c>
      <c r="C556" s="10" t="s">
        <v>23</v>
      </c>
      <c r="D556" s="10" t="s">
        <v>12</v>
      </c>
      <c r="E556" s="1" t="s">
        <v>36</v>
      </c>
      <c r="F556" s="1" t="s">
        <v>32</v>
      </c>
      <c r="G556">
        <v>375000</v>
      </c>
      <c r="H556" s="1">
        <v>2</v>
      </c>
      <c r="I556" s="1" t="s">
        <v>39</v>
      </c>
      <c r="J556" s="1" t="s">
        <v>37</v>
      </c>
      <c r="K556" s="15">
        <v>750000</v>
      </c>
      <c r="N556" s="29">
        <f t="shared" si="8"/>
        <v>750000</v>
      </c>
    </row>
    <row r="557" spans="1:14" x14ac:dyDescent="0.2">
      <c r="A557" s="2" t="s">
        <v>594</v>
      </c>
      <c r="B557" s="3">
        <v>45821</v>
      </c>
      <c r="C557" s="10" t="s">
        <v>11</v>
      </c>
      <c r="D557" s="10" t="s">
        <v>12</v>
      </c>
      <c r="E557" s="1" t="s">
        <v>26</v>
      </c>
      <c r="F557" s="1" t="s">
        <v>60</v>
      </c>
      <c r="G557">
        <v>350000</v>
      </c>
      <c r="H557" s="1">
        <v>2</v>
      </c>
      <c r="I557" s="1" t="s">
        <v>28</v>
      </c>
      <c r="J557" s="1" t="s">
        <v>29</v>
      </c>
      <c r="K557" s="15">
        <v>700000</v>
      </c>
      <c r="N557" s="29">
        <f t="shared" si="8"/>
        <v>700000</v>
      </c>
    </row>
    <row r="558" spans="1:14" x14ac:dyDescent="0.2">
      <c r="A558" s="2" t="s">
        <v>595</v>
      </c>
      <c r="B558" s="3">
        <v>45708</v>
      </c>
      <c r="C558" s="10" t="s">
        <v>21</v>
      </c>
      <c r="D558" s="10" t="s">
        <v>22</v>
      </c>
      <c r="E558" s="1" t="s">
        <v>31</v>
      </c>
      <c r="F558" s="1" t="s">
        <v>41</v>
      </c>
      <c r="G558">
        <v>75000</v>
      </c>
      <c r="H558" s="1">
        <v>3</v>
      </c>
      <c r="I558" s="1" t="s">
        <v>39</v>
      </c>
      <c r="J558" s="1" t="s">
        <v>37</v>
      </c>
      <c r="K558" s="15">
        <v>225000</v>
      </c>
      <c r="N558" s="29">
        <f t="shared" si="8"/>
        <v>225000</v>
      </c>
    </row>
    <row r="559" spans="1:14" x14ac:dyDescent="0.2">
      <c r="A559" s="2" t="s">
        <v>596</v>
      </c>
      <c r="B559" s="3">
        <v>45661</v>
      </c>
      <c r="C559" s="10" t="s">
        <v>17</v>
      </c>
      <c r="D559" s="10" t="s">
        <v>18</v>
      </c>
      <c r="E559" s="1" t="s">
        <v>26</v>
      </c>
      <c r="F559" s="1" t="s">
        <v>32</v>
      </c>
      <c r="G559">
        <v>300000</v>
      </c>
      <c r="H559" s="1">
        <v>3</v>
      </c>
      <c r="I559" s="1" t="s">
        <v>39</v>
      </c>
      <c r="J559" s="1" t="s">
        <v>29</v>
      </c>
      <c r="K559" s="15">
        <v>900000</v>
      </c>
      <c r="N559" s="29">
        <f t="shared" si="8"/>
        <v>900000</v>
      </c>
    </row>
    <row r="560" spans="1:14" x14ac:dyDescent="0.2">
      <c r="A560" s="2" t="s">
        <v>597</v>
      </c>
      <c r="B560" s="3">
        <v>45831</v>
      </c>
      <c r="C560" s="10" t="s">
        <v>23</v>
      </c>
      <c r="D560" s="10" t="s">
        <v>12</v>
      </c>
      <c r="E560" s="1" t="s">
        <v>36</v>
      </c>
      <c r="F560" s="1" t="s">
        <v>41</v>
      </c>
      <c r="G560">
        <v>375000</v>
      </c>
      <c r="H560" s="1">
        <v>2</v>
      </c>
      <c r="I560" s="1" t="s">
        <v>28</v>
      </c>
      <c r="J560" s="1" t="s">
        <v>29</v>
      </c>
      <c r="K560" s="15">
        <v>750000</v>
      </c>
      <c r="N560" s="29">
        <f t="shared" si="8"/>
        <v>750000</v>
      </c>
    </row>
    <row r="561" spans="1:14" x14ac:dyDescent="0.2">
      <c r="A561" s="2" t="s">
        <v>598</v>
      </c>
      <c r="B561" s="3">
        <v>45804</v>
      </c>
      <c r="C561" s="10" t="s">
        <v>19</v>
      </c>
      <c r="D561" s="10" t="s">
        <v>20</v>
      </c>
      <c r="E561" s="1" t="s">
        <v>47</v>
      </c>
      <c r="F561" s="1" t="s">
        <v>41</v>
      </c>
      <c r="G561">
        <v>250000</v>
      </c>
      <c r="H561" s="1">
        <v>2</v>
      </c>
      <c r="I561" s="1" t="s">
        <v>28</v>
      </c>
      <c r="J561" s="1" t="s">
        <v>29</v>
      </c>
      <c r="K561" s="15">
        <v>500000</v>
      </c>
      <c r="N561" s="29">
        <f t="shared" si="8"/>
        <v>500000</v>
      </c>
    </row>
    <row r="562" spans="1:14" x14ac:dyDescent="0.2">
      <c r="A562" s="2" t="s">
        <v>599</v>
      </c>
      <c r="B562" s="3">
        <v>45692</v>
      </c>
      <c r="C562" s="10" t="s">
        <v>23</v>
      </c>
      <c r="D562" s="10" t="s">
        <v>12</v>
      </c>
      <c r="E562" s="1" t="s">
        <v>31</v>
      </c>
      <c r="F562" s="1" t="s">
        <v>41</v>
      </c>
      <c r="G562">
        <v>375000</v>
      </c>
      <c r="H562" s="1">
        <v>1</v>
      </c>
      <c r="I562" s="1" t="s">
        <v>39</v>
      </c>
      <c r="J562" s="1" t="s">
        <v>29</v>
      </c>
      <c r="K562" s="15">
        <v>375000</v>
      </c>
      <c r="N562" s="29">
        <f t="shared" si="8"/>
        <v>375000</v>
      </c>
    </row>
    <row r="563" spans="1:14" x14ac:dyDescent="0.2">
      <c r="A563" s="2" t="s">
        <v>600</v>
      </c>
      <c r="B563" s="3">
        <v>45713</v>
      </c>
      <c r="C563" s="10" t="s">
        <v>21</v>
      </c>
      <c r="D563" s="10" t="s">
        <v>22</v>
      </c>
      <c r="E563" s="1" t="s">
        <v>47</v>
      </c>
      <c r="F563" s="1" t="s">
        <v>45</v>
      </c>
      <c r="G563">
        <v>75000</v>
      </c>
      <c r="H563" s="1">
        <v>1</v>
      </c>
      <c r="I563" s="1" t="s">
        <v>28</v>
      </c>
      <c r="J563" s="1" t="s">
        <v>29</v>
      </c>
      <c r="K563" s="15">
        <v>75000</v>
      </c>
      <c r="N563" s="29">
        <f t="shared" si="8"/>
        <v>75000</v>
      </c>
    </row>
    <row r="564" spans="1:14" x14ac:dyDescent="0.2">
      <c r="A564" s="2" t="s">
        <v>601</v>
      </c>
      <c r="B564" s="3">
        <v>45713</v>
      </c>
      <c r="C564" s="10" t="s">
        <v>24</v>
      </c>
      <c r="D564" s="10" t="s">
        <v>16</v>
      </c>
      <c r="E564" s="1" t="s">
        <v>47</v>
      </c>
      <c r="F564" s="1" t="s">
        <v>45</v>
      </c>
      <c r="G564">
        <v>240000</v>
      </c>
      <c r="H564" s="1">
        <v>1</v>
      </c>
      <c r="I564" s="1" t="s">
        <v>39</v>
      </c>
      <c r="J564" s="1" t="s">
        <v>37</v>
      </c>
      <c r="K564" s="15">
        <v>240000</v>
      </c>
      <c r="N564" s="29">
        <f t="shared" si="8"/>
        <v>240000</v>
      </c>
    </row>
    <row r="565" spans="1:14" x14ac:dyDescent="0.2">
      <c r="A565" s="2" t="s">
        <v>602</v>
      </c>
      <c r="B565" s="3">
        <v>45788</v>
      </c>
      <c r="C565" s="10" t="s">
        <v>23</v>
      </c>
      <c r="D565" s="10" t="s">
        <v>12</v>
      </c>
      <c r="E565" s="1" t="s">
        <v>47</v>
      </c>
      <c r="F565" s="1" t="s">
        <v>32</v>
      </c>
      <c r="G565">
        <v>375000</v>
      </c>
      <c r="H565" s="1">
        <v>1</v>
      </c>
      <c r="I565" s="1" t="s">
        <v>39</v>
      </c>
      <c r="J565" s="1" t="s">
        <v>29</v>
      </c>
      <c r="K565" s="15">
        <v>375000</v>
      </c>
      <c r="N565" s="29">
        <f t="shared" si="8"/>
        <v>375000</v>
      </c>
    </row>
    <row r="566" spans="1:14" x14ac:dyDescent="0.2">
      <c r="A566" s="2" t="s">
        <v>603</v>
      </c>
      <c r="B566" s="3">
        <v>45684</v>
      </c>
      <c r="C566" s="10" t="s">
        <v>21</v>
      </c>
      <c r="D566" s="10" t="s">
        <v>22</v>
      </c>
      <c r="E566" s="1" t="s">
        <v>47</v>
      </c>
      <c r="F566" s="1" t="s">
        <v>60</v>
      </c>
      <c r="G566">
        <v>75000</v>
      </c>
      <c r="H566" s="1">
        <v>2</v>
      </c>
      <c r="I566" s="1" t="s">
        <v>39</v>
      </c>
      <c r="J566" s="1" t="s">
        <v>37</v>
      </c>
      <c r="K566" s="15">
        <v>150000</v>
      </c>
      <c r="N566" s="29">
        <f t="shared" si="8"/>
        <v>150000</v>
      </c>
    </row>
    <row r="567" spans="1:14" x14ac:dyDescent="0.2">
      <c r="A567" s="2" t="s">
        <v>604</v>
      </c>
      <c r="B567" s="3">
        <v>45814</v>
      </c>
      <c r="C567" s="10" t="s">
        <v>13</v>
      </c>
      <c r="D567" s="10" t="s">
        <v>14</v>
      </c>
      <c r="E567" s="1" t="s">
        <v>47</v>
      </c>
      <c r="F567" s="1" t="s">
        <v>45</v>
      </c>
      <c r="G567">
        <v>275000</v>
      </c>
      <c r="H567" s="1">
        <v>2</v>
      </c>
      <c r="I567" s="1" t="s">
        <v>28</v>
      </c>
      <c r="J567" s="1" t="s">
        <v>37</v>
      </c>
      <c r="K567" s="15">
        <v>550000</v>
      </c>
      <c r="N567" s="29">
        <f t="shared" si="8"/>
        <v>550000</v>
      </c>
    </row>
    <row r="568" spans="1:14" x14ac:dyDescent="0.2">
      <c r="A568" s="2" t="s">
        <v>605</v>
      </c>
      <c r="B568" s="3">
        <v>45681</v>
      </c>
      <c r="C568" s="10" t="s">
        <v>15</v>
      </c>
      <c r="D568" s="10" t="s">
        <v>16</v>
      </c>
      <c r="E568" s="1" t="s">
        <v>26</v>
      </c>
      <c r="F568" s="1" t="s">
        <v>60</v>
      </c>
      <c r="G568">
        <v>225000</v>
      </c>
      <c r="H568" s="1">
        <v>3</v>
      </c>
      <c r="I568" s="1" t="s">
        <v>39</v>
      </c>
      <c r="J568" s="1" t="s">
        <v>37</v>
      </c>
      <c r="K568" s="15">
        <v>675000</v>
      </c>
      <c r="N568" s="29">
        <f t="shared" si="8"/>
        <v>675000</v>
      </c>
    </row>
    <row r="569" spans="1:14" x14ac:dyDescent="0.2">
      <c r="A569" s="2" t="s">
        <v>606</v>
      </c>
      <c r="B569" s="3">
        <v>45826</v>
      </c>
      <c r="C569" s="10" t="s">
        <v>13</v>
      </c>
      <c r="D569" s="10" t="s">
        <v>14</v>
      </c>
      <c r="E569" s="1" t="s">
        <v>47</v>
      </c>
      <c r="F569" s="1" t="s">
        <v>32</v>
      </c>
      <c r="G569">
        <v>275000</v>
      </c>
      <c r="H569" s="1">
        <v>1</v>
      </c>
      <c r="I569" s="1" t="s">
        <v>39</v>
      </c>
      <c r="J569" s="1" t="s">
        <v>29</v>
      </c>
      <c r="K569" s="15">
        <v>275000</v>
      </c>
      <c r="N569" s="29">
        <f t="shared" si="8"/>
        <v>275000</v>
      </c>
    </row>
    <row r="570" spans="1:14" x14ac:dyDescent="0.2">
      <c r="A570" s="2" t="s">
        <v>607</v>
      </c>
      <c r="B570" s="3">
        <v>45766</v>
      </c>
      <c r="C570" s="10" t="s">
        <v>21</v>
      </c>
      <c r="D570" s="10" t="s">
        <v>22</v>
      </c>
      <c r="E570" s="1" t="s">
        <v>36</v>
      </c>
      <c r="F570" s="1" t="s">
        <v>60</v>
      </c>
      <c r="G570">
        <v>75000</v>
      </c>
      <c r="H570" s="1">
        <v>1</v>
      </c>
      <c r="I570" s="1" t="s">
        <v>39</v>
      </c>
      <c r="J570" s="1" t="s">
        <v>29</v>
      </c>
      <c r="K570" s="15">
        <v>75000</v>
      </c>
      <c r="N570" s="29">
        <f t="shared" si="8"/>
        <v>75000</v>
      </c>
    </row>
    <row r="571" spans="1:14" x14ac:dyDescent="0.2">
      <c r="A571" s="2" t="s">
        <v>608</v>
      </c>
      <c r="B571" s="3">
        <v>45825</v>
      </c>
      <c r="C571" s="10" t="s">
        <v>19</v>
      </c>
      <c r="D571" s="10" t="s">
        <v>20</v>
      </c>
      <c r="E571" s="1" t="s">
        <v>26</v>
      </c>
      <c r="F571" s="1" t="s">
        <v>60</v>
      </c>
      <c r="G571">
        <v>250000</v>
      </c>
      <c r="H571" s="1">
        <v>3</v>
      </c>
      <c r="I571" s="1" t="s">
        <v>28</v>
      </c>
      <c r="J571" s="1" t="s">
        <v>29</v>
      </c>
      <c r="K571" s="15">
        <v>750000</v>
      </c>
      <c r="N571" s="29">
        <f t="shared" si="8"/>
        <v>750000</v>
      </c>
    </row>
    <row r="572" spans="1:14" x14ac:dyDescent="0.2">
      <c r="A572" s="2" t="s">
        <v>609</v>
      </c>
      <c r="B572" s="3">
        <v>45694</v>
      </c>
      <c r="C572" s="10" t="s">
        <v>17</v>
      </c>
      <c r="D572" s="10" t="s">
        <v>18</v>
      </c>
      <c r="E572" s="1" t="s">
        <v>31</v>
      </c>
      <c r="F572" s="1" t="s">
        <v>32</v>
      </c>
      <c r="G572">
        <v>300000</v>
      </c>
      <c r="H572" s="1">
        <v>3</v>
      </c>
      <c r="I572" s="1" t="s">
        <v>28</v>
      </c>
      <c r="J572" s="1" t="s">
        <v>29</v>
      </c>
      <c r="K572" s="15">
        <v>900000</v>
      </c>
      <c r="N572" s="29">
        <f t="shared" si="8"/>
        <v>900000</v>
      </c>
    </row>
    <row r="573" spans="1:14" x14ac:dyDescent="0.2">
      <c r="A573" s="2" t="s">
        <v>610</v>
      </c>
      <c r="B573" s="3">
        <v>45728</v>
      </c>
      <c r="C573" s="10" t="s">
        <v>11</v>
      </c>
      <c r="D573" s="10" t="s">
        <v>12</v>
      </c>
      <c r="E573" s="1" t="s">
        <v>31</v>
      </c>
      <c r="F573" s="1" t="s">
        <v>27</v>
      </c>
      <c r="G573">
        <v>350000</v>
      </c>
      <c r="H573" s="1">
        <v>2</v>
      </c>
      <c r="I573" s="1" t="s">
        <v>39</v>
      </c>
      <c r="J573" s="1" t="s">
        <v>29</v>
      </c>
      <c r="K573" s="15">
        <v>700000</v>
      </c>
      <c r="N573" s="29">
        <f t="shared" si="8"/>
        <v>700000</v>
      </c>
    </row>
    <row r="574" spans="1:14" x14ac:dyDescent="0.2">
      <c r="A574" s="2" t="s">
        <v>611</v>
      </c>
      <c r="B574" s="3">
        <v>45735</v>
      </c>
      <c r="C574" s="10" t="s">
        <v>23</v>
      </c>
      <c r="D574" s="10" t="s">
        <v>12</v>
      </c>
      <c r="E574" s="1" t="s">
        <v>26</v>
      </c>
      <c r="F574" s="1" t="s">
        <v>60</v>
      </c>
      <c r="G574">
        <v>375000</v>
      </c>
      <c r="H574" s="1">
        <v>2</v>
      </c>
      <c r="I574" s="1" t="s">
        <v>28</v>
      </c>
      <c r="J574" s="1" t="s">
        <v>29</v>
      </c>
      <c r="K574" s="15">
        <v>750000</v>
      </c>
      <c r="N574" s="29">
        <f t="shared" si="8"/>
        <v>750000</v>
      </c>
    </row>
    <row r="575" spans="1:14" x14ac:dyDescent="0.2">
      <c r="A575" s="2" t="s">
        <v>612</v>
      </c>
      <c r="B575" s="3">
        <v>45821</v>
      </c>
      <c r="C575" s="10" t="s">
        <v>23</v>
      </c>
      <c r="D575" s="10" t="s">
        <v>12</v>
      </c>
      <c r="E575" s="1" t="s">
        <v>47</v>
      </c>
      <c r="F575" s="1" t="s">
        <v>41</v>
      </c>
      <c r="G575">
        <v>375000</v>
      </c>
      <c r="H575" s="1">
        <v>2</v>
      </c>
      <c r="I575" s="1" t="s">
        <v>28</v>
      </c>
      <c r="J575" s="1" t="s">
        <v>37</v>
      </c>
      <c r="K575" s="15">
        <v>750000</v>
      </c>
      <c r="N575" s="29">
        <f t="shared" si="8"/>
        <v>750000</v>
      </c>
    </row>
    <row r="576" spans="1:14" x14ac:dyDescent="0.2">
      <c r="A576" s="2" t="s">
        <v>613</v>
      </c>
      <c r="B576" s="3">
        <v>45717</v>
      </c>
      <c r="C576" s="10" t="s">
        <v>23</v>
      </c>
      <c r="D576" s="10" t="s">
        <v>12</v>
      </c>
      <c r="E576" s="1" t="s">
        <v>26</v>
      </c>
      <c r="F576" s="1" t="s">
        <v>34</v>
      </c>
      <c r="G576">
        <v>375000</v>
      </c>
      <c r="H576" s="1">
        <v>3</v>
      </c>
      <c r="I576" s="1" t="s">
        <v>28</v>
      </c>
      <c r="J576" s="1" t="s">
        <v>29</v>
      </c>
      <c r="K576" s="15">
        <v>1125000</v>
      </c>
      <c r="N576" s="29">
        <f t="shared" si="8"/>
        <v>1125000</v>
      </c>
    </row>
    <row r="577" spans="1:14" x14ac:dyDescent="0.2">
      <c r="A577" s="2" t="s">
        <v>614</v>
      </c>
      <c r="B577" s="3">
        <v>45671</v>
      </c>
      <c r="C577" s="10" t="s">
        <v>19</v>
      </c>
      <c r="D577" s="10" t="s">
        <v>20</v>
      </c>
      <c r="E577" s="1" t="s">
        <v>31</v>
      </c>
      <c r="F577" s="1" t="s">
        <v>32</v>
      </c>
      <c r="G577">
        <v>250000</v>
      </c>
      <c r="H577" s="1">
        <v>1</v>
      </c>
      <c r="I577" s="1" t="s">
        <v>28</v>
      </c>
      <c r="J577" s="1" t="s">
        <v>37</v>
      </c>
      <c r="K577" s="15">
        <v>250000</v>
      </c>
      <c r="N577" s="29">
        <f t="shared" si="8"/>
        <v>250000</v>
      </c>
    </row>
    <row r="578" spans="1:14" x14ac:dyDescent="0.2">
      <c r="A578" s="2" t="s">
        <v>615</v>
      </c>
      <c r="B578" s="3">
        <v>45810</v>
      </c>
      <c r="C578" s="10" t="s">
        <v>24</v>
      </c>
      <c r="D578" s="10" t="s">
        <v>16</v>
      </c>
      <c r="E578" s="1" t="s">
        <v>31</v>
      </c>
      <c r="F578" s="1" t="s">
        <v>27</v>
      </c>
      <c r="G578">
        <v>240000</v>
      </c>
      <c r="H578" s="1">
        <v>1</v>
      </c>
      <c r="I578" s="1" t="s">
        <v>39</v>
      </c>
      <c r="J578" s="1" t="s">
        <v>29</v>
      </c>
      <c r="K578" s="15">
        <v>240000</v>
      </c>
      <c r="N578" s="29">
        <f t="shared" si="8"/>
        <v>240000</v>
      </c>
    </row>
    <row r="579" spans="1:14" x14ac:dyDescent="0.2">
      <c r="A579" s="2" t="s">
        <v>616</v>
      </c>
      <c r="B579" s="3">
        <v>45818</v>
      </c>
      <c r="C579" s="10" t="s">
        <v>17</v>
      </c>
      <c r="D579" s="10" t="s">
        <v>18</v>
      </c>
      <c r="E579" s="1" t="s">
        <v>31</v>
      </c>
      <c r="F579" s="1" t="s">
        <v>32</v>
      </c>
      <c r="G579">
        <v>300000</v>
      </c>
      <c r="H579" s="1">
        <v>3</v>
      </c>
      <c r="I579" s="1" t="s">
        <v>39</v>
      </c>
      <c r="J579" s="1" t="s">
        <v>37</v>
      </c>
      <c r="K579" s="15">
        <v>900000</v>
      </c>
      <c r="N579" s="29">
        <f t="shared" ref="N579:N642" si="9">G579*H579</f>
        <v>900000</v>
      </c>
    </row>
    <row r="580" spans="1:14" x14ac:dyDescent="0.2">
      <c r="A580" s="2" t="s">
        <v>617</v>
      </c>
      <c r="B580" s="3">
        <v>45696</v>
      </c>
      <c r="C580" s="10" t="s">
        <v>15</v>
      </c>
      <c r="D580" s="10" t="s">
        <v>16</v>
      </c>
      <c r="E580" s="1" t="s">
        <v>36</v>
      </c>
      <c r="F580" s="1" t="s">
        <v>32</v>
      </c>
      <c r="G580">
        <v>225000</v>
      </c>
      <c r="H580" s="1">
        <v>2</v>
      </c>
      <c r="I580" s="1" t="s">
        <v>39</v>
      </c>
      <c r="J580" s="1" t="s">
        <v>29</v>
      </c>
      <c r="K580" s="15">
        <v>450000</v>
      </c>
      <c r="N580" s="29">
        <f t="shared" si="9"/>
        <v>450000</v>
      </c>
    </row>
    <row r="581" spans="1:14" x14ac:dyDescent="0.2">
      <c r="A581" s="2" t="s">
        <v>618</v>
      </c>
      <c r="B581" s="3">
        <v>45816</v>
      </c>
      <c r="C581" s="10" t="s">
        <v>17</v>
      </c>
      <c r="D581" s="10" t="s">
        <v>18</v>
      </c>
      <c r="E581" s="1" t="s">
        <v>31</v>
      </c>
      <c r="F581" s="1" t="s">
        <v>60</v>
      </c>
      <c r="G581">
        <v>300000</v>
      </c>
      <c r="H581" s="1">
        <v>3</v>
      </c>
      <c r="I581" s="1" t="s">
        <v>39</v>
      </c>
      <c r="J581" s="1" t="s">
        <v>37</v>
      </c>
      <c r="K581" s="15">
        <v>900000</v>
      </c>
      <c r="N581" s="29">
        <f t="shared" si="9"/>
        <v>900000</v>
      </c>
    </row>
    <row r="582" spans="1:14" x14ac:dyDescent="0.2">
      <c r="A582" s="2" t="s">
        <v>619</v>
      </c>
      <c r="B582" s="3">
        <v>45702</v>
      </c>
      <c r="C582" s="10" t="s">
        <v>19</v>
      </c>
      <c r="D582" s="10" t="s">
        <v>20</v>
      </c>
      <c r="E582" s="1" t="s">
        <v>26</v>
      </c>
      <c r="F582" s="1" t="s">
        <v>45</v>
      </c>
      <c r="G582">
        <v>250000</v>
      </c>
      <c r="H582" s="1">
        <v>2</v>
      </c>
      <c r="I582" s="1" t="s">
        <v>39</v>
      </c>
      <c r="J582" s="1" t="s">
        <v>29</v>
      </c>
      <c r="K582" s="15">
        <v>500000</v>
      </c>
      <c r="N582" s="29">
        <f t="shared" si="9"/>
        <v>500000</v>
      </c>
    </row>
    <row r="583" spans="1:14" x14ac:dyDescent="0.2">
      <c r="A583" s="2" t="s">
        <v>620</v>
      </c>
      <c r="B583" s="3">
        <v>45818</v>
      </c>
      <c r="C583" s="10" t="s">
        <v>17</v>
      </c>
      <c r="D583" s="10" t="s">
        <v>18</v>
      </c>
      <c r="E583" s="1" t="s">
        <v>26</v>
      </c>
      <c r="F583" s="1" t="s">
        <v>45</v>
      </c>
      <c r="G583">
        <v>300000</v>
      </c>
      <c r="H583" s="1">
        <v>2</v>
      </c>
      <c r="I583" s="1" t="s">
        <v>39</v>
      </c>
      <c r="J583" s="1" t="s">
        <v>29</v>
      </c>
      <c r="K583" s="15">
        <v>600000</v>
      </c>
      <c r="N583" s="29">
        <f t="shared" si="9"/>
        <v>600000</v>
      </c>
    </row>
    <row r="584" spans="1:14" x14ac:dyDescent="0.2">
      <c r="A584" s="2" t="s">
        <v>621</v>
      </c>
      <c r="B584" s="3">
        <v>45666</v>
      </c>
      <c r="C584" s="10" t="s">
        <v>11</v>
      </c>
      <c r="D584" s="10" t="s">
        <v>12</v>
      </c>
      <c r="E584" s="1" t="s">
        <v>31</v>
      </c>
      <c r="F584" s="1" t="s">
        <v>27</v>
      </c>
      <c r="G584">
        <v>350000</v>
      </c>
      <c r="H584" s="1">
        <v>1</v>
      </c>
      <c r="I584" s="1" t="s">
        <v>39</v>
      </c>
      <c r="J584" s="1" t="s">
        <v>29</v>
      </c>
      <c r="K584" s="15">
        <v>350000</v>
      </c>
      <c r="N584" s="29">
        <f t="shared" si="9"/>
        <v>350000</v>
      </c>
    </row>
    <row r="585" spans="1:14" x14ac:dyDescent="0.2">
      <c r="A585" s="2" t="s">
        <v>622</v>
      </c>
      <c r="B585" s="3">
        <v>45690</v>
      </c>
      <c r="C585" s="10" t="s">
        <v>13</v>
      </c>
      <c r="D585" s="10" t="s">
        <v>14</v>
      </c>
      <c r="E585" s="1" t="s">
        <v>26</v>
      </c>
      <c r="F585" s="1" t="s">
        <v>45</v>
      </c>
      <c r="G585">
        <v>275000</v>
      </c>
      <c r="H585" s="1">
        <v>3</v>
      </c>
      <c r="I585" s="1" t="s">
        <v>39</v>
      </c>
      <c r="J585" s="1" t="s">
        <v>37</v>
      </c>
      <c r="K585" s="15">
        <v>825000</v>
      </c>
      <c r="N585" s="29">
        <f t="shared" si="9"/>
        <v>825000</v>
      </c>
    </row>
    <row r="586" spans="1:14" x14ac:dyDescent="0.2">
      <c r="A586" s="2" t="s">
        <v>623</v>
      </c>
      <c r="B586" s="3">
        <v>45778</v>
      </c>
      <c r="C586" s="10" t="s">
        <v>11</v>
      </c>
      <c r="D586" s="10" t="s">
        <v>12</v>
      </c>
      <c r="E586" s="1" t="s">
        <v>26</v>
      </c>
      <c r="F586" s="1" t="s">
        <v>60</v>
      </c>
      <c r="G586">
        <v>350000</v>
      </c>
      <c r="H586" s="1">
        <v>2</v>
      </c>
      <c r="I586" s="1" t="s">
        <v>28</v>
      </c>
      <c r="J586" s="1" t="s">
        <v>37</v>
      </c>
      <c r="K586" s="15">
        <v>700000</v>
      </c>
      <c r="N586" s="29">
        <f t="shared" si="9"/>
        <v>700000</v>
      </c>
    </row>
    <row r="587" spans="1:14" x14ac:dyDescent="0.2">
      <c r="A587" s="2" t="s">
        <v>624</v>
      </c>
      <c r="B587" s="3">
        <v>45689</v>
      </c>
      <c r="C587" s="10" t="s">
        <v>23</v>
      </c>
      <c r="D587" s="10" t="s">
        <v>12</v>
      </c>
      <c r="E587" s="1" t="s">
        <v>36</v>
      </c>
      <c r="F587" s="1" t="s">
        <v>45</v>
      </c>
      <c r="G587">
        <v>375000</v>
      </c>
      <c r="H587" s="1">
        <v>3</v>
      </c>
      <c r="I587" s="1" t="s">
        <v>28</v>
      </c>
      <c r="J587" s="1" t="s">
        <v>37</v>
      </c>
      <c r="K587" s="15">
        <v>1125000</v>
      </c>
      <c r="N587" s="29">
        <f t="shared" si="9"/>
        <v>1125000</v>
      </c>
    </row>
    <row r="588" spans="1:14" x14ac:dyDescent="0.2">
      <c r="A588" s="2" t="s">
        <v>625</v>
      </c>
      <c r="B588" s="3">
        <v>45778</v>
      </c>
      <c r="C588" s="10" t="s">
        <v>13</v>
      </c>
      <c r="D588" s="10" t="s">
        <v>14</v>
      </c>
      <c r="E588" s="1" t="s">
        <v>47</v>
      </c>
      <c r="F588" s="1" t="s">
        <v>60</v>
      </c>
      <c r="G588">
        <v>275000</v>
      </c>
      <c r="H588" s="1">
        <v>1</v>
      </c>
      <c r="I588" s="1" t="s">
        <v>28</v>
      </c>
      <c r="J588" s="1" t="s">
        <v>29</v>
      </c>
      <c r="K588" s="15">
        <v>275000</v>
      </c>
      <c r="N588" s="29">
        <f t="shared" si="9"/>
        <v>275000</v>
      </c>
    </row>
    <row r="589" spans="1:14" x14ac:dyDescent="0.2">
      <c r="A589" s="2" t="s">
        <v>626</v>
      </c>
      <c r="B589" s="3">
        <v>45770</v>
      </c>
      <c r="C589" s="10" t="s">
        <v>13</v>
      </c>
      <c r="D589" s="10" t="s">
        <v>14</v>
      </c>
      <c r="E589" s="1" t="s">
        <v>47</v>
      </c>
      <c r="F589" s="1" t="s">
        <v>32</v>
      </c>
      <c r="G589">
        <v>275000</v>
      </c>
      <c r="H589" s="1">
        <v>3</v>
      </c>
      <c r="I589" s="1" t="s">
        <v>28</v>
      </c>
      <c r="J589" s="1" t="s">
        <v>29</v>
      </c>
      <c r="K589" s="15">
        <v>825000</v>
      </c>
      <c r="N589" s="29">
        <f t="shared" si="9"/>
        <v>825000</v>
      </c>
    </row>
    <row r="590" spans="1:14" x14ac:dyDescent="0.2">
      <c r="A590" s="2" t="s">
        <v>627</v>
      </c>
      <c r="B590" s="3">
        <v>45671</v>
      </c>
      <c r="C590" s="10" t="s">
        <v>23</v>
      </c>
      <c r="D590" s="10" t="s">
        <v>12</v>
      </c>
      <c r="E590" s="1" t="s">
        <v>47</v>
      </c>
      <c r="F590" s="1" t="s">
        <v>32</v>
      </c>
      <c r="G590">
        <v>375000</v>
      </c>
      <c r="H590" s="1">
        <v>3</v>
      </c>
      <c r="I590" s="1" t="s">
        <v>39</v>
      </c>
      <c r="J590" s="1" t="s">
        <v>29</v>
      </c>
      <c r="K590" s="15">
        <v>1125000</v>
      </c>
      <c r="N590" s="29">
        <f t="shared" si="9"/>
        <v>1125000</v>
      </c>
    </row>
    <row r="591" spans="1:14" x14ac:dyDescent="0.2">
      <c r="A591" s="2" t="s">
        <v>628</v>
      </c>
      <c r="B591" s="3">
        <v>45744</v>
      </c>
      <c r="C591" s="10" t="s">
        <v>13</v>
      </c>
      <c r="D591" s="10" t="s">
        <v>14</v>
      </c>
      <c r="E591" s="1" t="s">
        <v>47</v>
      </c>
      <c r="F591" s="1" t="s">
        <v>34</v>
      </c>
      <c r="G591">
        <v>275000</v>
      </c>
      <c r="H591" s="1">
        <v>2</v>
      </c>
      <c r="I591" s="1" t="s">
        <v>28</v>
      </c>
      <c r="J591" s="1" t="s">
        <v>29</v>
      </c>
      <c r="K591" s="15">
        <v>550000</v>
      </c>
      <c r="N591" s="29">
        <f t="shared" si="9"/>
        <v>550000</v>
      </c>
    </row>
    <row r="592" spans="1:14" x14ac:dyDescent="0.2">
      <c r="A592" s="2" t="s">
        <v>629</v>
      </c>
      <c r="B592" s="3">
        <v>45790</v>
      </c>
      <c r="C592" s="10" t="s">
        <v>21</v>
      </c>
      <c r="D592" s="10" t="s">
        <v>22</v>
      </c>
      <c r="E592" s="1" t="s">
        <v>31</v>
      </c>
      <c r="F592" s="1" t="s">
        <v>34</v>
      </c>
      <c r="G592">
        <v>75000</v>
      </c>
      <c r="H592" s="1">
        <v>3</v>
      </c>
      <c r="I592" s="1" t="s">
        <v>39</v>
      </c>
      <c r="J592" s="1" t="s">
        <v>37</v>
      </c>
      <c r="K592" s="15">
        <v>225000</v>
      </c>
      <c r="N592" s="29">
        <f t="shared" si="9"/>
        <v>225000</v>
      </c>
    </row>
    <row r="593" spans="1:14" x14ac:dyDescent="0.2">
      <c r="A593" s="2" t="s">
        <v>630</v>
      </c>
      <c r="B593" s="3">
        <v>45790</v>
      </c>
      <c r="C593" s="10" t="s">
        <v>21</v>
      </c>
      <c r="D593" s="10" t="s">
        <v>22</v>
      </c>
      <c r="E593" s="1" t="s">
        <v>47</v>
      </c>
      <c r="F593" s="1" t="s">
        <v>45</v>
      </c>
      <c r="G593">
        <v>75000</v>
      </c>
      <c r="H593" s="1">
        <v>1</v>
      </c>
      <c r="I593" s="1" t="s">
        <v>39</v>
      </c>
      <c r="J593" s="1" t="s">
        <v>37</v>
      </c>
      <c r="K593" s="15">
        <v>75000</v>
      </c>
      <c r="N593" s="29">
        <f t="shared" si="9"/>
        <v>75000</v>
      </c>
    </row>
    <row r="594" spans="1:14" x14ac:dyDescent="0.2">
      <c r="A594" s="2" t="s">
        <v>631</v>
      </c>
      <c r="B594" s="3">
        <v>45785</v>
      </c>
      <c r="C594" s="10" t="s">
        <v>23</v>
      </c>
      <c r="D594" s="10" t="s">
        <v>12</v>
      </c>
      <c r="E594" s="1" t="s">
        <v>47</v>
      </c>
      <c r="F594" s="1" t="s">
        <v>27</v>
      </c>
      <c r="G594">
        <v>375000</v>
      </c>
      <c r="H594" s="1">
        <v>2</v>
      </c>
      <c r="I594" s="1" t="s">
        <v>28</v>
      </c>
      <c r="J594" s="1" t="s">
        <v>29</v>
      </c>
      <c r="K594" s="15">
        <v>750000</v>
      </c>
      <c r="N594" s="29">
        <f t="shared" si="9"/>
        <v>750000</v>
      </c>
    </row>
    <row r="595" spans="1:14" x14ac:dyDescent="0.2">
      <c r="A595" s="2" t="s">
        <v>632</v>
      </c>
      <c r="B595" s="3">
        <v>45706</v>
      </c>
      <c r="C595" s="10" t="s">
        <v>21</v>
      </c>
      <c r="D595" s="10" t="s">
        <v>22</v>
      </c>
      <c r="E595" s="1" t="s">
        <v>36</v>
      </c>
      <c r="F595" s="1" t="s">
        <v>41</v>
      </c>
      <c r="G595">
        <v>75000</v>
      </c>
      <c r="H595" s="1">
        <v>1</v>
      </c>
      <c r="I595" s="1" t="s">
        <v>28</v>
      </c>
      <c r="J595" s="1" t="s">
        <v>29</v>
      </c>
      <c r="K595" s="15">
        <v>75000</v>
      </c>
      <c r="N595" s="29">
        <f t="shared" si="9"/>
        <v>75000</v>
      </c>
    </row>
    <row r="596" spans="1:14" x14ac:dyDescent="0.2">
      <c r="A596" s="2" t="s">
        <v>633</v>
      </c>
      <c r="B596" s="3">
        <v>45792</v>
      </c>
      <c r="C596" s="10" t="s">
        <v>19</v>
      </c>
      <c r="D596" s="10" t="s">
        <v>20</v>
      </c>
      <c r="E596" s="1" t="s">
        <v>31</v>
      </c>
      <c r="F596" s="1" t="s">
        <v>27</v>
      </c>
      <c r="G596">
        <v>250000</v>
      </c>
      <c r="H596" s="1">
        <v>3</v>
      </c>
      <c r="I596" s="1" t="s">
        <v>39</v>
      </c>
      <c r="J596" s="1" t="s">
        <v>37</v>
      </c>
      <c r="K596" s="15">
        <v>750000</v>
      </c>
      <c r="N596" s="29">
        <f t="shared" si="9"/>
        <v>750000</v>
      </c>
    </row>
    <row r="597" spans="1:14" x14ac:dyDescent="0.2">
      <c r="A597" s="2" t="s">
        <v>634</v>
      </c>
      <c r="B597" s="3">
        <v>45673</v>
      </c>
      <c r="C597" s="10" t="s">
        <v>23</v>
      </c>
      <c r="D597" s="10" t="s">
        <v>12</v>
      </c>
      <c r="E597" s="1" t="s">
        <v>47</v>
      </c>
      <c r="F597" s="1" t="s">
        <v>34</v>
      </c>
      <c r="G597">
        <v>375000</v>
      </c>
      <c r="H597" s="1">
        <v>3</v>
      </c>
      <c r="I597" s="1" t="s">
        <v>28</v>
      </c>
      <c r="J597" s="1" t="s">
        <v>29</v>
      </c>
      <c r="K597" s="15">
        <v>1125000</v>
      </c>
      <c r="N597" s="29">
        <f t="shared" si="9"/>
        <v>1125000</v>
      </c>
    </row>
    <row r="598" spans="1:14" x14ac:dyDescent="0.2">
      <c r="A598" s="2" t="s">
        <v>635</v>
      </c>
      <c r="B598" s="3">
        <v>45809</v>
      </c>
      <c r="C598" s="10" t="s">
        <v>23</v>
      </c>
      <c r="D598" s="10" t="s">
        <v>12</v>
      </c>
      <c r="E598" s="1" t="s">
        <v>36</v>
      </c>
      <c r="F598" s="1" t="s">
        <v>34</v>
      </c>
      <c r="G598">
        <v>375000</v>
      </c>
      <c r="H598" s="1">
        <v>3</v>
      </c>
      <c r="I598" s="1" t="s">
        <v>39</v>
      </c>
      <c r="J598" s="1" t="s">
        <v>29</v>
      </c>
      <c r="K598" s="15">
        <v>1125000</v>
      </c>
      <c r="N598" s="29">
        <f t="shared" si="9"/>
        <v>1125000</v>
      </c>
    </row>
    <row r="599" spans="1:14" x14ac:dyDescent="0.2">
      <c r="A599" s="2" t="s">
        <v>636</v>
      </c>
      <c r="B599" s="3">
        <v>45672</v>
      </c>
      <c r="C599" s="10" t="s">
        <v>23</v>
      </c>
      <c r="D599" s="10" t="s">
        <v>12</v>
      </c>
      <c r="E599" s="1" t="s">
        <v>47</v>
      </c>
      <c r="F599" s="1" t="s">
        <v>45</v>
      </c>
      <c r="G599">
        <v>375000</v>
      </c>
      <c r="H599" s="1">
        <v>1</v>
      </c>
      <c r="I599" s="1" t="s">
        <v>28</v>
      </c>
      <c r="J599" s="1" t="s">
        <v>37</v>
      </c>
      <c r="K599" s="15">
        <v>375000</v>
      </c>
      <c r="N599" s="29">
        <f t="shared" si="9"/>
        <v>375000</v>
      </c>
    </row>
    <row r="600" spans="1:14" x14ac:dyDescent="0.2">
      <c r="A600" s="2" t="s">
        <v>637</v>
      </c>
      <c r="B600" s="3">
        <v>45755</v>
      </c>
      <c r="C600" s="10" t="s">
        <v>17</v>
      </c>
      <c r="D600" s="10" t="s">
        <v>18</v>
      </c>
      <c r="E600" s="1" t="s">
        <v>47</v>
      </c>
      <c r="F600" s="1" t="s">
        <v>60</v>
      </c>
      <c r="G600">
        <v>300000</v>
      </c>
      <c r="H600" s="1">
        <v>3</v>
      </c>
      <c r="I600" s="1" t="s">
        <v>39</v>
      </c>
      <c r="J600" s="1" t="s">
        <v>29</v>
      </c>
      <c r="K600" s="15">
        <v>900000</v>
      </c>
      <c r="N600" s="29">
        <f t="shared" si="9"/>
        <v>900000</v>
      </c>
    </row>
    <row r="601" spans="1:14" x14ac:dyDescent="0.2">
      <c r="A601" s="2" t="s">
        <v>638</v>
      </c>
      <c r="B601" s="3">
        <v>45820</v>
      </c>
      <c r="C601" s="10" t="s">
        <v>21</v>
      </c>
      <c r="D601" s="10" t="s">
        <v>22</v>
      </c>
      <c r="E601" s="1" t="s">
        <v>36</v>
      </c>
      <c r="F601" s="1" t="s">
        <v>60</v>
      </c>
      <c r="G601">
        <v>75000</v>
      </c>
      <c r="H601" s="1">
        <v>1</v>
      </c>
      <c r="I601" s="1" t="s">
        <v>39</v>
      </c>
      <c r="J601" s="1" t="s">
        <v>29</v>
      </c>
      <c r="K601" s="15">
        <v>75000</v>
      </c>
      <c r="N601" s="29">
        <f t="shared" si="9"/>
        <v>75000</v>
      </c>
    </row>
    <row r="602" spans="1:14" x14ac:dyDescent="0.2">
      <c r="A602" s="2" t="s">
        <v>639</v>
      </c>
      <c r="B602" s="3">
        <v>45664</v>
      </c>
      <c r="C602" s="10" t="s">
        <v>24</v>
      </c>
      <c r="D602" s="10" t="s">
        <v>16</v>
      </c>
      <c r="E602" s="1" t="s">
        <v>36</v>
      </c>
      <c r="F602" s="1" t="s">
        <v>41</v>
      </c>
      <c r="G602">
        <v>240000</v>
      </c>
      <c r="H602" s="1">
        <v>2</v>
      </c>
      <c r="I602" s="1" t="s">
        <v>39</v>
      </c>
      <c r="J602" s="1" t="s">
        <v>29</v>
      </c>
      <c r="K602" s="15">
        <v>480000</v>
      </c>
      <c r="N602" s="29">
        <f t="shared" si="9"/>
        <v>480000</v>
      </c>
    </row>
    <row r="603" spans="1:14" x14ac:dyDescent="0.2">
      <c r="A603" s="2" t="s">
        <v>640</v>
      </c>
      <c r="B603" s="3">
        <v>45716</v>
      </c>
      <c r="C603" s="10" t="s">
        <v>13</v>
      </c>
      <c r="D603" s="10" t="s">
        <v>14</v>
      </c>
      <c r="E603" s="1" t="s">
        <v>47</v>
      </c>
      <c r="F603" s="1" t="s">
        <v>34</v>
      </c>
      <c r="G603">
        <v>275000</v>
      </c>
      <c r="H603" s="1">
        <v>1</v>
      </c>
      <c r="I603" s="1" t="s">
        <v>28</v>
      </c>
      <c r="J603" s="1" t="s">
        <v>37</v>
      </c>
      <c r="K603" s="15">
        <v>275000</v>
      </c>
      <c r="N603" s="29">
        <f t="shared" si="9"/>
        <v>275000</v>
      </c>
    </row>
    <row r="604" spans="1:14" x14ac:dyDescent="0.2">
      <c r="A604" s="2" t="s">
        <v>641</v>
      </c>
      <c r="B604" s="3">
        <v>45784</v>
      </c>
      <c r="C604" s="10" t="s">
        <v>13</v>
      </c>
      <c r="D604" s="10" t="s">
        <v>14</v>
      </c>
      <c r="E604" s="1" t="s">
        <v>26</v>
      </c>
      <c r="F604" s="1" t="s">
        <v>45</v>
      </c>
      <c r="G604">
        <v>275000</v>
      </c>
      <c r="H604" s="1">
        <v>1</v>
      </c>
      <c r="I604" s="1" t="s">
        <v>39</v>
      </c>
      <c r="J604" s="1" t="s">
        <v>37</v>
      </c>
      <c r="K604" s="15">
        <v>275000</v>
      </c>
      <c r="N604" s="29">
        <f t="shared" si="9"/>
        <v>275000</v>
      </c>
    </row>
    <row r="605" spans="1:14" x14ac:dyDescent="0.2">
      <c r="A605" s="2" t="s">
        <v>642</v>
      </c>
      <c r="B605" s="3">
        <v>45698</v>
      </c>
      <c r="C605" s="10" t="s">
        <v>23</v>
      </c>
      <c r="D605" s="10" t="s">
        <v>12</v>
      </c>
      <c r="E605" s="1" t="s">
        <v>47</v>
      </c>
      <c r="F605" s="1" t="s">
        <v>32</v>
      </c>
      <c r="G605">
        <v>375000</v>
      </c>
      <c r="H605" s="1">
        <v>1</v>
      </c>
      <c r="I605" s="1" t="s">
        <v>28</v>
      </c>
      <c r="J605" s="1" t="s">
        <v>37</v>
      </c>
      <c r="K605" s="15">
        <v>375000</v>
      </c>
      <c r="N605" s="29">
        <f t="shared" si="9"/>
        <v>375000</v>
      </c>
    </row>
    <row r="606" spans="1:14" x14ac:dyDescent="0.2">
      <c r="A606" s="2" t="s">
        <v>643</v>
      </c>
      <c r="B606" s="3">
        <v>45676</v>
      </c>
      <c r="C606" s="10" t="s">
        <v>13</v>
      </c>
      <c r="D606" s="10" t="s">
        <v>14</v>
      </c>
      <c r="E606" s="1" t="s">
        <v>36</v>
      </c>
      <c r="F606" s="1" t="s">
        <v>45</v>
      </c>
      <c r="G606">
        <v>275000</v>
      </c>
      <c r="H606" s="1">
        <v>3</v>
      </c>
      <c r="I606" s="1" t="s">
        <v>39</v>
      </c>
      <c r="J606" s="1" t="s">
        <v>37</v>
      </c>
      <c r="K606" s="15">
        <v>825000</v>
      </c>
      <c r="N606" s="29">
        <f t="shared" si="9"/>
        <v>825000</v>
      </c>
    </row>
    <row r="607" spans="1:14" x14ac:dyDescent="0.2">
      <c r="A607" s="2" t="s">
        <v>644</v>
      </c>
      <c r="B607" s="3">
        <v>45762</v>
      </c>
      <c r="C607" s="10" t="s">
        <v>19</v>
      </c>
      <c r="D607" s="10" t="s">
        <v>20</v>
      </c>
      <c r="E607" s="1" t="s">
        <v>36</v>
      </c>
      <c r="F607" s="1" t="s">
        <v>45</v>
      </c>
      <c r="G607">
        <v>250000</v>
      </c>
      <c r="H607" s="1">
        <v>2</v>
      </c>
      <c r="I607" s="1" t="s">
        <v>28</v>
      </c>
      <c r="J607" s="1" t="s">
        <v>29</v>
      </c>
      <c r="K607" s="15">
        <v>500000</v>
      </c>
      <c r="N607" s="29">
        <f t="shared" si="9"/>
        <v>500000</v>
      </c>
    </row>
    <row r="608" spans="1:14" x14ac:dyDescent="0.2">
      <c r="A608" s="2" t="s">
        <v>645</v>
      </c>
      <c r="B608" s="3">
        <v>45662</v>
      </c>
      <c r="C608" s="10" t="s">
        <v>11</v>
      </c>
      <c r="D608" s="10" t="s">
        <v>12</v>
      </c>
      <c r="E608" s="1" t="s">
        <v>26</v>
      </c>
      <c r="F608" s="1" t="s">
        <v>45</v>
      </c>
      <c r="G608">
        <v>350000</v>
      </c>
      <c r="H608" s="1">
        <v>2</v>
      </c>
      <c r="I608" s="1" t="s">
        <v>28</v>
      </c>
      <c r="J608" s="1" t="s">
        <v>37</v>
      </c>
      <c r="K608" s="15">
        <v>700000</v>
      </c>
      <c r="N608" s="29">
        <f t="shared" si="9"/>
        <v>700000</v>
      </c>
    </row>
    <row r="609" spans="1:14" x14ac:dyDescent="0.2">
      <c r="A609" s="2" t="s">
        <v>646</v>
      </c>
      <c r="B609" s="3">
        <v>45835</v>
      </c>
      <c r="C609" s="10" t="s">
        <v>13</v>
      </c>
      <c r="D609" s="10" t="s">
        <v>14</v>
      </c>
      <c r="E609" s="1" t="s">
        <v>47</v>
      </c>
      <c r="F609" s="1" t="s">
        <v>34</v>
      </c>
      <c r="G609">
        <v>275000</v>
      </c>
      <c r="H609" s="1">
        <v>3</v>
      </c>
      <c r="I609" s="1" t="s">
        <v>28</v>
      </c>
      <c r="J609" s="1" t="s">
        <v>37</v>
      </c>
      <c r="K609" s="15">
        <v>825000</v>
      </c>
      <c r="N609" s="29">
        <f t="shared" si="9"/>
        <v>825000</v>
      </c>
    </row>
    <row r="610" spans="1:14" x14ac:dyDescent="0.2">
      <c r="A610" s="2" t="s">
        <v>647</v>
      </c>
      <c r="B610" s="3">
        <v>45775</v>
      </c>
      <c r="C610" s="10" t="s">
        <v>23</v>
      </c>
      <c r="D610" s="10" t="s">
        <v>12</v>
      </c>
      <c r="E610" s="1" t="s">
        <v>26</v>
      </c>
      <c r="F610" s="1" t="s">
        <v>27</v>
      </c>
      <c r="G610">
        <v>375000</v>
      </c>
      <c r="H610" s="1">
        <v>2</v>
      </c>
      <c r="I610" s="1" t="s">
        <v>39</v>
      </c>
      <c r="J610" s="1" t="s">
        <v>37</v>
      </c>
      <c r="K610" s="15">
        <v>750000</v>
      </c>
      <c r="N610" s="29">
        <f t="shared" si="9"/>
        <v>750000</v>
      </c>
    </row>
    <row r="611" spans="1:14" x14ac:dyDescent="0.2">
      <c r="A611" s="2" t="s">
        <v>648</v>
      </c>
      <c r="B611" s="3">
        <v>45730</v>
      </c>
      <c r="C611" s="10" t="s">
        <v>19</v>
      </c>
      <c r="D611" s="10" t="s">
        <v>20</v>
      </c>
      <c r="E611" s="1" t="s">
        <v>26</v>
      </c>
      <c r="F611" s="1" t="s">
        <v>60</v>
      </c>
      <c r="G611">
        <v>250000</v>
      </c>
      <c r="H611" s="1">
        <v>1</v>
      </c>
      <c r="I611" s="1" t="s">
        <v>28</v>
      </c>
      <c r="J611" s="1" t="s">
        <v>29</v>
      </c>
      <c r="K611" s="15">
        <v>250000</v>
      </c>
      <c r="N611" s="29">
        <f t="shared" si="9"/>
        <v>250000</v>
      </c>
    </row>
    <row r="612" spans="1:14" x14ac:dyDescent="0.2">
      <c r="A612" s="2" t="s">
        <v>649</v>
      </c>
      <c r="B612" s="3">
        <v>45805</v>
      </c>
      <c r="C612" s="10" t="s">
        <v>19</v>
      </c>
      <c r="D612" s="10" t="s">
        <v>20</v>
      </c>
      <c r="E612" s="1" t="s">
        <v>26</v>
      </c>
      <c r="F612" s="1" t="s">
        <v>27</v>
      </c>
      <c r="G612">
        <v>250000</v>
      </c>
      <c r="H612" s="1">
        <v>3</v>
      </c>
      <c r="I612" s="1" t="s">
        <v>39</v>
      </c>
      <c r="J612" s="1" t="s">
        <v>29</v>
      </c>
      <c r="K612" s="15">
        <v>750000</v>
      </c>
      <c r="N612" s="29">
        <f t="shared" si="9"/>
        <v>750000</v>
      </c>
    </row>
    <row r="613" spans="1:14" x14ac:dyDescent="0.2">
      <c r="A613" s="2" t="s">
        <v>650</v>
      </c>
      <c r="B613" s="3">
        <v>45783</v>
      </c>
      <c r="C613" s="10" t="s">
        <v>21</v>
      </c>
      <c r="D613" s="10" t="s">
        <v>22</v>
      </c>
      <c r="E613" s="1" t="s">
        <v>47</v>
      </c>
      <c r="F613" s="1" t="s">
        <v>41</v>
      </c>
      <c r="G613">
        <v>75000</v>
      </c>
      <c r="H613" s="1">
        <v>2</v>
      </c>
      <c r="I613" s="1" t="s">
        <v>39</v>
      </c>
      <c r="J613" s="1" t="s">
        <v>37</v>
      </c>
      <c r="K613" s="15">
        <v>150000</v>
      </c>
      <c r="N613" s="29">
        <f t="shared" si="9"/>
        <v>150000</v>
      </c>
    </row>
    <row r="614" spans="1:14" x14ac:dyDescent="0.2">
      <c r="A614" s="2" t="s">
        <v>651</v>
      </c>
      <c r="B614" s="3">
        <v>45768</v>
      </c>
      <c r="C614" s="10" t="s">
        <v>24</v>
      </c>
      <c r="D614" s="10" t="s">
        <v>16</v>
      </c>
      <c r="E614" s="1" t="s">
        <v>26</v>
      </c>
      <c r="F614" s="1" t="s">
        <v>60</v>
      </c>
      <c r="G614">
        <v>240000</v>
      </c>
      <c r="H614" s="1">
        <v>1</v>
      </c>
      <c r="I614" s="1" t="s">
        <v>28</v>
      </c>
      <c r="J614" s="1" t="s">
        <v>29</v>
      </c>
      <c r="K614" s="15">
        <v>240000</v>
      </c>
      <c r="N614" s="29">
        <f t="shared" si="9"/>
        <v>240000</v>
      </c>
    </row>
    <row r="615" spans="1:14" x14ac:dyDescent="0.2">
      <c r="A615" s="2" t="s">
        <v>652</v>
      </c>
      <c r="B615" s="3">
        <v>45761</v>
      </c>
      <c r="C615" s="10" t="s">
        <v>11</v>
      </c>
      <c r="D615" s="10" t="s">
        <v>12</v>
      </c>
      <c r="E615" s="1" t="s">
        <v>36</v>
      </c>
      <c r="F615" s="1" t="s">
        <v>32</v>
      </c>
      <c r="G615">
        <v>350000</v>
      </c>
      <c r="H615" s="1">
        <v>2</v>
      </c>
      <c r="I615" s="1" t="s">
        <v>39</v>
      </c>
      <c r="J615" s="1" t="s">
        <v>29</v>
      </c>
      <c r="K615" s="15">
        <v>700000</v>
      </c>
      <c r="N615" s="29">
        <f t="shared" si="9"/>
        <v>700000</v>
      </c>
    </row>
    <row r="616" spans="1:14" x14ac:dyDescent="0.2">
      <c r="A616" s="2" t="s">
        <v>653</v>
      </c>
      <c r="B616" s="3">
        <v>45789</v>
      </c>
      <c r="C616" s="10" t="s">
        <v>23</v>
      </c>
      <c r="D616" s="10" t="s">
        <v>12</v>
      </c>
      <c r="E616" s="1" t="s">
        <v>26</v>
      </c>
      <c r="F616" s="1" t="s">
        <v>27</v>
      </c>
      <c r="G616">
        <v>375000</v>
      </c>
      <c r="H616" s="1">
        <v>1</v>
      </c>
      <c r="I616" s="1" t="s">
        <v>39</v>
      </c>
      <c r="J616" s="1" t="s">
        <v>37</v>
      </c>
      <c r="K616" s="15">
        <v>375000</v>
      </c>
      <c r="N616" s="29">
        <f t="shared" si="9"/>
        <v>375000</v>
      </c>
    </row>
    <row r="617" spans="1:14" x14ac:dyDescent="0.2">
      <c r="A617" s="2" t="s">
        <v>654</v>
      </c>
      <c r="B617" s="3">
        <v>45671</v>
      </c>
      <c r="C617" s="10" t="s">
        <v>23</v>
      </c>
      <c r="D617" s="10" t="s">
        <v>12</v>
      </c>
      <c r="E617" s="1" t="s">
        <v>36</v>
      </c>
      <c r="F617" s="1" t="s">
        <v>45</v>
      </c>
      <c r="G617">
        <v>375000</v>
      </c>
      <c r="H617" s="1">
        <v>1</v>
      </c>
      <c r="I617" s="1" t="s">
        <v>28</v>
      </c>
      <c r="J617" s="1" t="s">
        <v>37</v>
      </c>
      <c r="K617" s="15">
        <v>375000</v>
      </c>
      <c r="N617" s="29">
        <f t="shared" si="9"/>
        <v>375000</v>
      </c>
    </row>
    <row r="618" spans="1:14" x14ac:dyDescent="0.2">
      <c r="A618" s="2" t="s">
        <v>655</v>
      </c>
      <c r="B618" s="3">
        <v>45677</v>
      </c>
      <c r="C618" s="10" t="s">
        <v>17</v>
      </c>
      <c r="D618" s="10" t="s">
        <v>18</v>
      </c>
      <c r="E618" s="1" t="s">
        <v>36</v>
      </c>
      <c r="F618" s="1" t="s">
        <v>45</v>
      </c>
      <c r="G618">
        <v>300000</v>
      </c>
      <c r="H618" s="1">
        <v>1</v>
      </c>
      <c r="I618" s="1" t="s">
        <v>28</v>
      </c>
      <c r="J618" s="1" t="s">
        <v>37</v>
      </c>
      <c r="K618" s="15">
        <v>300000</v>
      </c>
      <c r="N618" s="29">
        <f t="shared" si="9"/>
        <v>300000</v>
      </c>
    </row>
    <row r="619" spans="1:14" x14ac:dyDescent="0.2">
      <c r="A619" s="2" t="s">
        <v>656</v>
      </c>
      <c r="B619" s="3">
        <v>45720</v>
      </c>
      <c r="C619" s="10" t="s">
        <v>24</v>
      </c>
      <c r="D619" s="10" t="s">
        <v>16</v>
      </c>
      <c r="E619" s="1" t="s">
        <v>26</v>
      </c>
      <c r="F619" s="1" t="s">
        <v>27</v>
      </c>
      <c r="G619">
        <v>240000</v>
      </c>
      <c r="H619" s="1">
        <v>1</v>
      </c>
      <c r="I619" s="1" t="s">
        <v>28</v>
      </c>
      <c r="J619" s="1" t="s">
        <v>37</v>
      </c>
      <c r="K619" s="15">
        <v>240000</v>
      </c>
      <c r="N619" s="29">
        <f t="shared" si="9"/>
        <v>240000</v>
      </c>
    </row>
    <row r="620" spans="1:14" x14ac:dyDescent="0.2">
      <c r="A620" s="2" t="s">
        <v>657</v>
      </c>
      <c r="B620" s="3">
        <v>45707</v>
      </c>
      <c r="C620" s="10" t="s">
        <v>17</v>
      </c>
      <c r="D620" s="10" t="s">
        <v>18</v>
      </c>
      <c r="E620" s="1" t="s">
        <v>26</v>
      </c>
      <c r="F620" s="1" t="s">
        <v>60</v>
      </c>
      <c r="G620">
        <v>300000</v>
      </c>
      <c r="H620" s="1">
        <v>3</v>
      </c>
      <c r="I620" s="1" t="s">
        <v>28</v>
      </c>
      <c r="J620" s="1" t="s">
        <v>29</v>
      </c>
      <c r="K620" s="15">
        <v>900000</v>
      </c>
      <c r="N620" s="29">
        <f t="shared" si="9"/>
        <v>900000</v>
      </c>
    </row>
    <row r="621" spans="1:14" x14ac:dyDescent="0.2">
      <c r="A621" s="2" t="s">
        <v>658</v>
      </c>
      <c r="B621" s="3">
        <v>45672</v>
      </c>
      <c r="C621" s="10" t="s">
        <v>15</v>
      </c>
      <c r="D621" s="10" t="s">
        <v>16</v>
      </c>
      <c r="E621" s="1" t="s">
        <v>47</v>
      </c>
      <c r="F621" s="1" t="s">
        <v>32</v>
      </c>
      <c r="G621">
        <v>225000</v>
      </c>
      <c r="H621" s="1">
        <v>2</v>
      </c>
      <c r="I621" s="1" t="s">
        <v>39</v>
      </c>
      <c r="J621" s="1" t="s">
        <v>29</v>
      </c>
      <c r="K621" s="15">
        <v>450000</v>
      </c>
      <c r="N621" s="29">
        <f t="shared" si="9"/>
        <v>450000</v>
      </c>
    </row>
    <row r="622" spans="1:14" x14ac:dyDescent="0.2">
      <c r="A622" s="2" t="s">
        <v>659</v>
      </c>
      <c r="B622" s="3">
        <v>45750</v>
      </c>
      <c r="C622" s="10" t="s">
        <v>21</v>
      </c>
      <c r="D622" s="10" t="s">
        <v>22</v>
      </c>
      <c r="E622" s="1" t="s">
        <v>47</v>
      </c>
      <c r="F622" s="1" t="s">
        <v>27</v>
      </c>
      <c r="G622">
        <v>75000</v>
      </c>
      <c r="H622" s="1">
        <v>2</v>
      </c>
      <c r="I622" s="1" t="s">
        <v>39</v>
      </c>
      <c r="J622" s="1" t="s">
        <v>37</v>
      </c>
      <c r="K622" s="15">
        <v>150000</v>
      </c>
      <c r="N622" s="29">
        <f t="shared" si="9"/>
        <v>150000</v>
      </c>
    </row>
    <row r="623" spans="1:14" x14ac:dyDescent="0.2">
      <c r="A623" s="2" t="s">
        <v>660</v>
      </c>
      <c r="B623" s="3">
        <v>45687</v>
      </c>
      <c r="C623" s="10" t="s">
        <v>11</v>
      </c>
      <c r="D623" s="10" t="s">
        <v>12</v>
      </c>
      <c r="E623" s="1" t="s">
        <v>31</v>
      </c>
      <c r="F623" s="1" t="s">
        <v>32</v>
      </c>
      <c r="G623">
        <v>350000</v>
      </c>
      <c r="H623" s="1">
        <v>3</v>
      </c>
      <c r="I623" s="1" t="s">
        <v>28</v>
      </c>
      <c r="J623" s="1" t="s">
        <v>29</v>
      </c>
      <c r="K623" s="15">
        <v>1050000</v>
      </c>
      <c r="N623" s="29">
        <f t="shared" si="9"/>
        <v>1050000</v>
      </c>
    </row>
    <row r="624" spans="1:14" x14ac:dyDescent="0.2">
      <c r="A624" s="2" t="s">
        <v>661</v>
      </c>
      <c r="B624" s="3">
        <v>45661</v>
      </c>
      <c r="C624" s="10" t="s">
        <v>19</v>
      </c>
      <c r="D624" s="10" t="s">
        <v>20</v>
      </c>
      <c r="E624" s="1" t="s">
        <v>31</v>
      </c>
      <c r="F624" s="1" t="s">
        <v>27</v>
      </c>
      <c r="G624">
        <v>250000</v>
      </c>
      <c r="H624" s="1">
        <v>1</v>
      </c>
      <c r="I624" s="1" t="s">
        <v>39</v>
      </c>
      <c r="J624" s="1" t="s">
        <v>29</v>
      </c>
      <c r="K624" s="15">
        <v>250000</v>
      </c>
      <c r="N624" s="29">
        <f t="shared" si="9"/>
        <v>250000</v>
      </c>
    </row>
    <row r="625" spans="1:14" x14ac:dyDescent="0.2">
      <c r="A625" s="2" t="s">
        <v>662</v>
      </c>
      <c r="B625" s="3">
        <v>45822</v>
      </c>
      <c r="C625" s="10" t="s">
        <v>15</v>
      </c>
      <c r="D625" s="10" t="s">
        <v>16</v>
      </c>
      <c r="E625" s="1" t="s">
        <v>36</v>
      </c>
      <c r="F625" s="1" t="s">
        <v>41</v>
      </c>
      <c r="G625">
        <v>225000</v>
      </c>
      <c r="H625" s="1">
        <v>1</v>
      </c>
      <c r="I625" s="1" t="s">
        <v>28</v>
      </c>
      <c r="J625" s="1" t="s">
        <v>29</v>
      </c>
      <c r="K625" s="15">
        <v>225000</v>
      </c>
      <c r="N625" s="29">
        <f t="shared" si="9"/>
        <v>225000</v>
      </c>
    </row>
    <row r="626" spans="1:14" x14ac:dyDescent="0.2">
      <c r="A626" s="2" t="s">
        <v>663</v>
      </c>
      <c r="B626" s="3">
        <v>45731</v>
      </c>
      <c r="C626" s="10" t="s">
        <v>21</v>
      </c>
      <c r="D626" s="10" t="s">
        <v>22</v>
      </c>
      <c r="E626" s="1" t="s">
        <v>26</v>
      </c>
      <c r="F626" s="1" t="s">
        <v>32</v>
      </c>
      <c r="G626">
        <v>75000</v>
      </c>
      <c r="H626" s="1">
        <v>1</v>
      </c>
      <c r="I626" s="1" t="s">
        <v>39</v>
      </c>
      <c r="J626" s="1" t="s">
        <v>29</v>
      </c>
      <c r="K626" s="15">
        <v>75000</v>
      </c>
      <c r="N626" s="29">
        <f t="shared" si="9"/>
        <v>75000</v>
      </c>
    </row>
    <row r="627" spans="1:14" x14ac:dyDescent="0.2">
      <c r="A627" s="2" t="s">
        <v>664</v>
      </c>
      <c r="B627" s="3">
        <v>45803</v>
      </c>
      <c r="C627" s="10" t="s">
        <v>15</v>
      </c>
      <c r="D627" s="10" t="s">
        <v>16</v>
      </c>
      <c r="E627" s="1" t="s">
        <v>36</v>
      </c>
      <c r="F627" s="1" t="s">
        <v>34</v>
      </c>
      <c r="G627">
        <v>225000</v>
      </c>
      <c r="H627" s="1">
        <v>1</v>
      </c>
      <c r="I627" s="1" t="s">
        <v>39</v>
      </c>
      <c r="J627" s="1" t="s">
        <v>29</v>
      </c>
      <c r="K627" s="15">
        <v>225000</v>
      </c>
      <c r="N627" s="29">
        <f t="shared" si="9"/>
        <v>225000</v>
      </c>
    </row>
    <row r="628" spans="1:14" x14ac:dyDescent="0.2">
      <c r="A628" s="2" t="s">
        <v>665</v>
      </c>
      <c r="B628" s="3">
        <v>45800</v>
      </c>
      <c r="C628" s="10" t="s">
        <v>19</v>
      </c>
      <c r="D628" s="10" t="s">
        <v>20</v>
      </c>
      <c r="E628" s="1" t="s">
        <v>47</v>
      </c>
      <c r="F628" s="1" t="s">
        <v>34</v>
      </c>
      <c r="G628">
        <v>250000</v>
      </c>
      <c r="H628" s="1">
        <v>1</v>
      </c>
      <c r="I628" s="1" t="s">
        <v>39</v>
      </c>
      <c r="J628" s="1" t="s">
        <v>37</v>
      </c>
      <c r="K628" s="15">
        <v>250000</v>
      </c>
      <c r="N628" s="29">
        <f t="shared" si="9"/>
        <v>250000</v>
      </c>
    </row>
    <row r="629" spans="1:14" x14ac:dyDescent="0.2">
      <c r="A629" s="2" t="s">
        <v>666</v>
      </c>
      <c r="B629" s="3">
        <v>45672</v>
      </c>
      <c r="C629" s="10" t="s">
        <v>13</v>
      </c>
      <c r="D629" s="10" t="s">
        <v>14</v>
      </c>
      <c r="E629" s="1" t="s">
        <v>47</v>
      </c>
      <c r="F629" s="1" t="s">
        <v>32</v>
      </c>
      <c r="G629">
        <v>275000</v>
      </c>
      <c r="H629" s="1">
        <v>1</v>
      </c>
      <c r="I629" s="1" t="s">
        <v>28</v>
      </c>
      <c r="J629" s="1" t="s">
        <v>29</v>
      </c>
      <c r="K629" s="15">
        <v>275000</v>
      </c>
      <c r="N629" s="29">
        <f t="shared" si="9"/>
        <v>275000</v>
      </c>
    </row>
    <row r="630" spans="1:14" x14ac:dyDescent="0.2">
      <c r="A630" s="2" t="s">
        <v>667</v>
      </c>
      <c r="B630" s="3">
        <v>45786</v>
      </c>
      <c r="C630" s="10" t="s">
        <v>24</v>
      </c>
      <c r="D630" s="10" t="s">
        <v>16</v>
      </c>
      <c r="E630" s="1" t="s">
        <v>47</v>
      </c>
      <c r="F630" s="1" t="s">
        <v>27</v>
      </c>
      <c r="G630">
        <v>240000</v>
      </c>
      <c r="H630" s="1">
        <v>3</v>
      </c>
      <c r="I630" s="1" t="s">
        <v>28</v>
      </c>
      <c r="J630" s="1" t="s">
        <v>29</v>
      </c>
      <c r="K630" s="15">
        <v>720000</v>
      </c>
      <c r="N630" s="29">
        <f t="shared" si="9"/>
        <v>720000</v>
      </c>
    </row>
    <row r="631" spans="1:14" x14ac:dyDescent="0.2">
      <c r="A631" s="2" t="s">
        <v>668</v>
      </c>
      <c r="B631" s="3">
        <v>45794</v>
      </c>
      <c r="C631" s="10" t="s">
        <v>23</v>
      </c>
      <c r="D631" s="10" t="s">
        <v>12</v>
      </c>
      <c r="E631" s="1" t="s">
        <v>36</v>
      </c>
      <c r="F631" s="1" t="s">
        <v>32</v>
      </c>
      <c r="G631">
        <v>375000</v>
      </c>
      <c r="H631" s="1">
        <v>1</v>
      </c>
      <c r="I631" s="1" t="s">
        <v>39</v>
      </c>
      <c r="J631" s="1" t="s">
        <v>37</v>
      </c>
      <c r="K631" s="15">
        <v>375000</v>
      </c>
      <c r="N631" s="29">
        <f t="shared" si="9"/>
        <v>375000</v>
      </c>
    </row>
    <row r="632" spans="1:14" x14ac:dyDescent="0.2">
      <c r="A632" s="2" t="s">
        <v>669</v>
      </c>
      <c r="B632" s="3">
        <v>45800</v>
      </c>
      <c r="C632" s="10" t="s">
        <v>19</v>
      </c>
      <c r="D632" s="10" t="s">
        <v>20</v>
      </c>
      <c r="E632" s="1" t="s">
        <v>47</v>
      </c>
      <c r="F632" s="1" t="s">
        <v>32</v>
      </c>
      <c r="G632">
        <v>250000</v>
      </c>
      <c r="H632" s="1">
        <v>3</v>
      </c>
      <c r="I632" s="1" t="s">
        <v>28</v>
      </c>
      <c r="J632" s="1" t="s">
        <v>29</v>
      </c>
      <c r="K632" s="15">
        <v>750000</v>
      </c>
      <c r="N632" s="29">
        <f t="shared" si="9"/>
        <v>750000</v>
      </c>
    </row>
    <row r="633" spans="1:14" x14ac:dyDescent="0.2">
      <c r="A633" s="2" t="s">
        <v>670</v>
      </c>
      <c r="B633" s="3">
        <v>45834</v>
      </c>
      <c r="C633" s="10" t="s">
        <v>19</v>
      </c>
      <c r="D633" s="10" t="s">
        <v>20</v>
      </c>
      <c r="E633" s="1" t="s">
        <v>47</v>
      </c>
      <c r="F633" s="1" t="s">
        <v>41</v>
      </c>
      <c r="G633">
        <v>250000</v>
      </c>
      <c r="H633" s="1">
        <v>3</v>
      </c>
      <c r="I633" s="1" t="s">
        <v>28</v>
      </c>
      <c r="J633" s="1" t="s">
        <v>29</v>
      </c>
      <c r="K633" s="15">
        <v>750000</v>
      </c>
      <c r="N633" s="29">
        <f t="shared" si="9"/>
        <v>750000</v>
      </c>
    </row>
    <row r="634" spans="1:14" x14ac:dyDescent="0.2">
      <c r="A634" s="2" t="s">
        <v>671</v>
      </c>
      <c r="B634" s="3">
        <v>45675</v>
      </c>
      <c r="C634" s="10" t="s">
        <v>11</v>
      </c>
      <c r="D634" s="10" t="s">
        <v>12</v>
      </c>
      <c r="E634" s="1" t="s">
        <v>26</v>
      </c>
      <c r="F634" s="1" t="s">
        <v>27</v>
      </c>
      <c r="G634">
        <v>350000</v>
      </c>
      <c r="H634" s="1">
        <v>1</v>
      </c>
      <c r="I634" s="1" t="s">
        <v>28</v>
      </c>
      <c r="J634" s="1" t="s">
        <v>29</v>
      </c>
      <c r="K634" s="15">
        <v>350000</v>
      </c>
      <c r="N634" s="29">
        <f t="shared" si="9"/>
        <v>350000</v>
      </c>
    </row>
    <row r="635" spans="1:14" x14ac:dyDescent="0.2">
      <c r="A635" s="2" t="s">
        <v>672</v>
      </c>
      <c r="B635" s="3">
        <v>45684</v>
      </c>
      <c r="C635" s="10" t="s">
        <v>21</v>
      </c>
      <c r="D635" s="10" t="s">
        <v>22</v>
      </c>
      <c r="E635" s="1" t="s">
        <v>31</v>
      </c>
      <c r="F635" s="1" t="s">
        <v>60</v>
      </c>
      <c r="G635">
        <v>75000</v>
      </c>
      <c r="H635" s="1">
        <v>1</v>
      </c>
      <c r="I635" s="1" t="s">
        <v>39</v>
      </c>
      <c r="J635" s="1" t="s">
        <v>29</v>
      </c>
      <c r="K635" s="15">
        <v>75000</v>
      </c>
      <c r="N635" s="29">
        <f t="shared" si="9"/>
        <v>75000</v>
      </c>
    </row>
    <row r="636" spans="1:14" x14ac:dyDescent="0.2">
      <c r="A636" s="2" t="s">
        <v>673</v>
      </c>
      <c r="B636" s="3">
        <v>45682</v>
      </c>
      <c r="C636" s="10" t="s">
        <v>17</v>
      </c>
      <c r="D636" s="10" t="s">
        <v>18</v>
      </c>
      <c r="E636" s="1" t="s">
        <v>26</v>
      </c>
      <c r="F636" s="1" t="s">
        <v>34</v>
      </c>
      <c r="G636">
        <v>300000</v>
      </c>
      <c r="H636" s="1">
        <v>3</v>
      </c>
      <c r="I636" s="1" t="s">
        <v>39</v>
      </c>
      <c r="J636" s="1" t="s">
        <v>29</v>
      </c>
      <c r="K636" s="15">
        <v>900000</v>
      </c>
      <c r="N636" s="29">
        <f t="shared" si="9"/>
        <v>900000</v>
      </c>
    </row>
    <row r="637" spans="1:14" x14ac:dyDescent="0.2">
      <c r="A637" s="2" t="s">
        <v>674</v>
      </c>
      <c r="B637" s="3">
        <v>45827</v>
      </c>
      <c r="C637" s="10" t="s">
        <v>23</v>
      </c>
      <c r="D637" s="10" t="s">
        <v>12</v>
      </c>
      <c r="E637" s="1" t="s">
        <v>26</v>
      </c>
      <c r="F637" s="1" t="s">
        <v>45</v>
      </c>
      <c r="G637">
        <v>375000</v>
      </c>
      <c r="H637" s="1">
        <v>1</v>
      </c>
      <c r="I637" s="1" t="s">
        <v>39</v>
      </c>
      <c r="J637" s="1" t="s">
        <v>29</v>
      </c>
      <c r="K637" s="15">
        <v>375000</v>
      </c>
      <c r="N637" s="29">
        <f t="shared" si="9"/>
        <v>375000</v>
      </c>
    </row>
    <row r="638" spans="1:14" x14ac:dyDescent="0.2">
      <c r="A638" s="2" t="s">
        <v>675</v>
      </c>
      <c r="B638" s="3">
        <v>45675</v>
      </c>
      <c r="C638" s="10" t="s">
        <v>17</v>
      </c>
      <c r="D638" s="10" t="s">
        <v>18</v>
      </c>
      <c r="E638" s="1" t="s">
        <v>31</v>
      </c>
      <c r="F638" s="1" t="s">
        <v>32</v>
      </c>
      <c r="G638">
        <v>300000</v>
      </c>
      <c r="H638" s="1">
        <v>1</v>
      </c>
      <c r="I638" s="1" t="s">
        <v>28</v>
      </c>
      <c r="J638" s="1" t="s">
        <v>37</v>
      </c>
      <c r="K638" s="15">
        <v>300000</v>
      </c>
      <c r="N638" s="29">
        <f t="shared" si="9"/>
        <v>300000</v>
      </c>
    </row>
    <row r="639" spans="1:14" x14ac:dyDescent="0.2">
      <c r="A639" s="2" t="s">
        <v>676</v>
      </c>
      <c r="B639" s="3">
        <v>45685</v>
      </c>
      <c r="C639" s="10" t="s">
        <v>19</v>
      </c>
      <c r="D639" s="10" t="s">
        <v>20</v>
      </c>
      <c r="E639" s="1" t="s">
        <v>31</v>
      </c>
      <c r="F639" s="1" t="s">
        <v>60</v>
      </c>
      <c r="G639">
        <v>250000</v>
      </c>
      <c r="H639" s="1">
        <v>2</v>
      </c>
      <c r="I639" s="1" t="s">
        <v>39</v>
      </c>
      <c r="J639" s="1" t="s">
        <v>29</v>
      </c>
      <c r="K639" s="15">
        <v>500000</v>
      </c>
      <c r="N639" s="29">
        <f t="shared" si="9"/>
        <v>500000</v>
      </c>
    </row>
    <row r="640" spans="1:14" x14ac:dyDescent="0.2">
      <c r="A640" s="2" t="s">
        <v>677</v>
      </c>
      <c r="B640" s="3">
        <v>45710</v>
      </c>
      <c r="C640" s="10" t="s">
        <v>15</v>
      </c>
      <c r="D640" s="10" t="s">
        <v>16</v>
      </c>
      <c r="E640" s="1" t="s">
        <v>36</v>
      </c>
      <c r="F640" s="1" t="s">
        <v>32</v>
      </c>
      <c r="G640">
        <v>225000</v>
      </c>
      <c r="H640" s="1">
        <v>1</v>
      </c>
      <c r="I640" s="1" t="s">
        <v>28</v>
      </c>
      <c r="J640" s="1" t="s">
        <v>37</v>
      </c>
      <c r="K640" s="15">
        <v>225000</v>
      </c>
      <c r="N640" s="29">
        <f t="shared" si="9"/>
        <v>225000</v>
      </c>
    </row>
    <row r="641" spans="1:14" x14ac:dyDescent="0.2">
      <c r="A641" s="2" t="s">
        <v>678</v>
      </c>
      <c r="B641" s="3">
        <v>45660</v>
      </c>
      <c r="C641" s="10" t="s">
        <v>24</v>
      </c>
      <c r="D641" s="10" t="s">
        <v>16</v>
      </c>
      <c r="E641" s="1" t="s">
        <v>47</v>
      </c>
      <c r="F641" s="1" t="s">
        <v>45</v>
      </c>
      <c r="G641">
        <v>240000</v>
      </c>
      <c r="H641" s="1">
        <v>1</v>
      </c>
      <c r="I641" s="1" t="s">
        <v>39</v>
      </c>
      <c r="J641" s="1" t="s">
        <v>37</v>
      </c>
      <c r="K641" s="15">
        <v>240000</v>
      </c>
      <c r="N641" s="29">
        <f t="shared" si="9"/>
        <v>240000</v>
      </c>
    </row>
    <row r="642" spans="1:14" x14ac:dyDescent="0.2">
      <c r="A642" s="2" t="s">
        <v>679</v>
      </c>
      <c r="B642" s="3">
        <v>45674</v>
      </c>
      <c r="C642" s="10" t="s">
        <v>13</v>
      </c>
      <c r="D642" s="10" t="s">
        <v>14</v>
      </c>
      <c r="E642" s="1" t="s">
        <v>26</v>
      </c>
      <c r="F642" s="1" t="s">
        <v>34</v>
      </c>
      <c r="G642">
        <v>275000</v>
      </c>
      <c r="H642" s="1">
        <v>3</v>
      </c>
      <c r="I642" s="1" t="s">
        <v>39</v>
      </c>
      <c r="J642" s="1" t="s">
        <v>29</v>
      </c>
      <c r="K642" s="15">
        <v>825000</v>
      </c>
      <c r="N642" s="29">
        <f t="shared" si="9"/>
        <v>825000</v>
      </c>
    </row>
    <row r="643" spans="1:14" x14ac:dyDescent="0.2">
      <c r="A643" s="2" t="s">
        <v>680</v>
      </c>
      <c r="B643" s="3">
        <v>45824</v>
      </c>
      <c r="C643" s="10" t="s">
        <v>23</v>
      </c>
      <c r="D643" s="10" t="s">
        <v>12</v>
      </c>
      <c r="E643" s="1" t="s">
        <v>31</v>
      </c>
      <c r="F643" s="1" t="s">
        <v>45</v>
      </c>
      <c r="G643">
        <v>375000</v>
      </c>
      <c r="H643" s="1">
        <v>3</v>
      </c>
      <c r="I643" s="1" t="s">
        <v>39</v>
      </c>
      <c r="J643" s="1" t="s">
        <v>29</v>
      </c>
      <c r="K643" s="15">
        <v>1125000</v>
      </c>
      <c r="N643" s="29">
        <f t="shared" ref="N643:N704" si="10">G643*H643</f>
        <v>1125000</v>
      </c>
    </row>
    <row r="644" spans="1:14" x14ac:dyDescent="0.2">
      <c r="A644" s="2" t="s">
        <v>681</v>
      </c>
      <c r="B644" s="3">
        <v>45807</v>
      </c>
      <c r="C644" s="10" t="s">
        <v>17</v>
      </c>
      <c r="D644" s="10" t="s">
        <v>18</v>
      </c>
      <c r="E644" s="1" t="s">
        <v>26</v>
      </c>
      <c r="F644" s="1" t="s">
        <v>60</v>
      </c>
      <c r="G644">
        <v>300000</v>
      </c>
      <c r="H644" s="1">
        <v>1</v>
      </c>
      <c r="I644" s="1" t="s">
        <v>28</v>
      </c>
      <c r="J644" s="1" t="s">
        <v>37</v>
      </c>
      <c r="K644" s="15">
        <v>300000</v>
      </c>
      <c r="N644" s="29">
        <f t="shared" si="10"/>
        <v>300000</v>
      </c>
    </row>
    <row r="645" spans="1:14" x14ac:dyDescent="0.2">
      <c r="A645" s="2" t="s">
        <v>682</v>
      </c>
      <c r="B645" s="3">
        <v>45757</v>
      </c>
      <c r="C645" s="10" t="s">
        <v>17</v>
      </c>
      <c r="D645" s="10" t="s">
        <v>18</v>
      </c>
      <c r="E645" s="1" t="s">
        <v>31</v>
      </c>
      <c r="F645" s="1" t="s">
        <v>27</v>
      </c>
      <c r="G645">
        <v>300000</v>
      </c>
      <c r="H645" s="1">
        <v>2</v>
      </c>
      <c r="I645" s="1" t="s">
        <v>28</v>
      </c>
      <c r="J645" s="1" t="s">
        <v>37</v>
      </c>
      <c r="K645" s="15">
        <v>600000</v>
      </c>
      <c r="N645" s="29">
        <f t="shared" si="10"/>
        <v>600000</v>
      </c>
    </row>
    <row r="646" spans="1:14" x14ac:dyDescent="0.2">
      <c r="A646" s="2" t="s">
        <v>683</v>
      </c>
      <c r="B646" s="3">
        <v>45835</v>
      </c>
      <c r="C646" s="10" t="s">
        <v>21</v>
      </c>
      <c r="D646" s="10" t="s">
        <v>22</v>
      </c>
      <c r="E646" s="1" t="s">
        <v>31</v>
      </c>
      <c r="F646" s="1" t="s">
        <v>34</v>
      </c>
      <c r="G646">
        <v>75000</v>
      </c>
      <c r="H646" s="1">
        <v>3</v>
      </c>
      <c r="I646" s="1" t="s">
        <v>39</v>
      </c>
      <c r="J646" s="1" t="s">
        <v>29</v>
      </c>
      <c r="K646" s="15">
        <v>225000</v>
      </c>
      <c r="N646" s="29">
        <f t="shared" si="10"/>
        <v>225000</v>
      </c>
    </row>
    <row r="647" spans="1:14" x14ac:dyDescent="0.2">
      <c r="A647" s="2" t="s">
        <v>684</v>
      </c>
      <c r="B647" s="3">
        <v>45831</v>
      </c>
      <c r="C647" s="10" t="s">
        <v>13</v>
      </c>
      <c r="D647" s="10" t="s">
        <v>14</v>
      </c>
      <c r="E647" s="1" t="s">
        <v>36</v>
      </c>
      <c r="F647" s="1" t="s">
        <v>45</v>
      </c>
      <c r="G647">
        <v>275000</v>
      </c>
      <c r="H647" s="1">
        <v>2</v>
      </c>
      <c r="I647" s="1" t="s">
        <v>28</v>
      </c>
      <c r="J647" s="1" t="s">
        <v>29</v>
      </c>
      <c r="K647" s="15">
        <v>550000</v>
      </c>
      <c r="N647" s="29">
        <f t="shared" si="10"/>
        <v>550000</v>
      </c>
    </row>
    <row r="648" spans="1:14" x14ac:dyDescent="0.2">
      <c r="A648" s="2" t="s">
        <v>685</v>
      </c>
      <c r="B648" s="3">
        <v>45721</v>
      </c>
      <c r="C648" s="10" t="s">
        <v>24</v>
      </c>
      <c r="D648" s="10" t="s">
        <v>16</v>
      </c>
      <c r="E648" s="1" t="s">
        <v>36</v>
      </c>
      <c r="F648" s="1" t="s">
        <v>60</v>
      </c>
      <c r="G648">
        <v>240000</v>
      </c>
      <c r="H648" s="1">
        <v>1</v>
      </c>
      <c r="I648" s="1" t="s">
        <v>39</v>
      </c>
      <c r="J648" s="1" t="s">
        <v>29</v>
      </c>
      <c r="K648" s="15">
        <v>240000</v>
      </c>
      <c r="N648" s="29">
        <f t="shared" si="10"/>
        <v>240000</v>
      </c>
    </row>
    <row r="649" spans="1:14" x14ac:dyDescent="0.2">
      <c r="A649" s="2" t="s">
        <v>686</v>
      </c>
      <c r="B649" s="3">
        <v>45830</v>
      </c>
      <c r="C649" s="10" t="s">
        <v>13</v>
      </c>
      <c r="D649" s="10" t="s">
        <v>14</v>
      </c>
      <c r="E649" s="1" t="s">
        <v>47</v>
      </c>
      <c r="F649" s="1" t="s">
        <v>34</v>
      </c>
      <c r="G649">
        <v>275000</v>
      </c>
      <c r="H649" s="1">
        <v>1</v>
      </c>
      <c r="I649" s="1" t="s">
        <v>28</v>
      </c>
      <c r="J649" s="1" t="s">
        <v>29</v>
      </c>
      <c r="K649" s="15">
        <v>275000</v>
      </c>
      <c r="N649" s="29">
        <f t="shared" si="10"/>
        <v>275000</v>
      </c>
    </row>
    <row r="650" spans="1:14" x14ac:dyDescent="0.2">
      <c r="A650" s="2" t="s">
        <v>687</v>
      </c>
      <c r="B650" s="3">
        <v>45682</v>
      </c>
      <c r="C650" s="10" t="s">
        <v>15</v>
      </c>
      <c r="D650" s="10" t="s">
        <v>16</v>
      </c>
      <c r="E650" s="1" t="s">
        <v>26</v>
      </c>
      <c r="F650" s="1" t="s">
        <v>60</v>
      </c>
      <c r="G650">
        <v>225000</v>
      </c>
      <c r="H650" s="1">
        <v>1</v>
      </c>
      <c r="I650" s="1" t="s">
        <v>28</v>
      </c>
      <c r="J650" s="1" t="s">
        <v>37</v>
      </c>
      <c r="K650" s="15">
        <v>225000</v>
      </c>
      <c r="N650" s="29">
        <f t="shared" si="10"/>
        <v>225000</v>
      </c>
    </row>
    <row r="651" spans="1:14" x14ac:dyDescent="0.2">
      <c r="A651" s="2" t="s">
        <v>688</v>
      </c>
      <c r="B651" s="3">
        <v>45660</v>
      </c>
      <c r="C651" s="10" t="s">
        <v>19</v>
      </c>
      <c r="D651" s="10" t="s">
        <v>20</v>
      </c>
      <c r="E651" s="1" t="s">
        <v>47</v>
      </c>
      <c r="F651" s="1" t="s">
        <v>34</v>
      </c>
      <c r="G651">
        <v>250000</v>
      </c>
      <c r="H651" s="1">
        <v>3</v>
      </c>
      <c r="I651" s="1" t="s">
        <v>28</v>
      </c>
      <c r="J651" s="1" t="s">
        <v>37</v>
      </c>
      <c r="K651" s="15">
        <v>750000</v>
      </c>
      <c r="N651" s="29">
        <f t="shared" si="10"/>
        <v>750000</v>
      </c>
    </row>
    <row r="652" spans="1:14" x14ac:dyDescent="0.2">
      <c r="A652" s="2" t="s">
        <v>689</v>
      </c>
      <c r="B652" s="3">
        <v>45762</v>
      </c>
      <c r="C652" s="10" t="s">
        <v>21</v>
      </c>
      <c r="D652" s="10" t="s">
        <v>22</v>
      </c>
      <c r="E652" s="1" t="s">
        <v>47</v>
      </c>
      <c r="F652" s="1" t="s">
        <v>60</v>
      </c>
      <c r="G652">
        <v>75000</v>
      </c>
      <c r="H652" s="1">
        <v>1</v>
      </c>
      <c r="I652" s="1" t="s">
        <v>39</v>
      </c>
      <c r="J652" s="1" t="s">
        <v>37</v>
      </c>
      <c r="K652" s="15">
        <v>75000</v>
      </c>
      <c r="N652" s="29">
        <f t="shared" si="10"/>
        <v>75000</v>
      </c>
    </row>
    <row r="653" spans="1:14" x14ac:dyDescent="0.2">
      <c r="A653" s="2" t="s">
        <v>690</v>
      </c>
      <c r="B653" s="3">
        <v>45708</v>
      </c>
      <c r="C653" s="10" t="s">
        <v>11</v>
      </c>
      <c r="D653" s="10" t="s">
        <v>12</v>
      </c>
      <c r="E653" s="1" t="s">
        <v>31</v>
      </c>
      <c r="F653" s="1" t="s">
        <v>41</v>
      </c>
      <c r="G653">
        <v>350000</v>
      </c>
      <c r="H653" s="1">
        <v>3</v>
      </c>
      <c r="I653" s="1" t="s">
        <v>28</v>
      </c>
      <c r="J653" s="1" t="s">
        <v>29</v>
      </c>
      <c r="K653" s="15">
        <v>1050000</v>
      </c>
      <c r="N653" s="29">
        <f t="shared" si="10"/>
        <v>1050000</v>
      </c>
    </row>
    <row r="654" spans="1:14" x14ac:dyDescent="0.2">
      <c r="A654" s="2" t="s">
        <v>691</v>
      </c>
      <c r="B654" s="3">
        <v>45717</v>
      </c>
      <c r="C654" s="10" t="s">
        <v>17</v>
      </c>
      <c r="D654" s="10" t="s">
        <v>18</v>
      </c>
      <c r="E654" s="1" t="s">
        <v>36</v>
      </c>
      <c r="F654" s="1" t="s">
        <v>60</v>
      </c>
      <c r="G654">
        <v>300000</v>
      </c>
      <c r="H654" s="1">
        <v>2</v>
      </c>
      <c r="I654" s="1" t="s">
        <v>28</v>
      </c>
      <c r="J654" s="1" t="s">
        <v>37</v>
      </c>
      <c r="K654" s="15">
        <v>600000</v>
      </c>
      <c r="N654" s="29">
        <f t="shared" si="10"/>
        <v>600000</v>
      </c>
    </row>
    <row r="655" spans="1:14" x14ac:dyDescent="0.2">
      <c r="A655" s="2" t="s">
        <v>692</v>
      </c>
      <c r="B655" s="3">
        <v>45821</v>
      </c>
      <c r="C655" s="10" t="s">
        <v>15</v>
      </c>
      <c r="D655" s="10" t="s">
        <v>16</v>
      </c>
      <c r="E655" s="1" t="s">
        <v>36</v>
      </c>
      <c r="F655" s="1" t="s">
        <v>60</v>
      </c>
      <c r="G655">
        <v>225000</v>
      </c>
      <c r="H655" s="1">
        <v>1</v>
      </c>
      <c r="I655" s="1" t="s">
        <v>28</v>
      </c>
      <c r="J655" s="1" t="s">
        <v>37</v>
      </c>
      <c r="K655" s="15">
        <v>225000</v>
      </c>
      <c r="N655" s="29">
        <f t="shared" si="10"/>
        <v>225000</v>
      </c>
    </row>
    <row r="656" spans="1:14" x14ac:dyDescent="0.2">
      <c r="A656" s="2" t="s">
        <v>693</v>
      </c>
      <c r="B656" s="3">
        <v>45787</v>
      </c>
      <c r="C656" s="10" t="s">
        <v>17</v>
      </c>
      <c r="D656" s="10" t="s">
        <v>18</v>
      </c>
      <c r="E656" s="1" t="s">
        <v>47</v>
      </c>
      <c r="F656" s="1" t="s">
        <v>34</v>
      </c>
      <c r="G656">
        <v>300000</v>
      </c>
      <c r="H656" s="1">
        <v>3</v>
      </c>
      <c r="I656" s="1" t="s">
        <v>28</v>
      </c>
      <c r="J656" s="1" t="s">
        <v>37</v>
      </c>
      <c r="K656" s="15">
        <v>900000</v>
      </c>
      <c r="N656" s="29">
        <f t="shared" si="10"/>
        <v>900000</v>
      </c>
    </row>
    <row r="657" spans="1:14" x14ac:dyDescent="0.2">
      <c r="A657" s="2" t="s">
        <v>694</v>
      </c>
      <c r="B657" s="3">
        <v>45833</v>
      </c>
      <c r="C657" s="10" t="s">
        <v>19</v>
      </c>
      <c r="D657" s="10" t="s">
        <v>20</v>
      </c>
      <c r="E657" s="1" t="s">
        <v>36</v>
      </c>
      <c r="F657" s="1" t="s">
        <v>60</v>
      </c>
      <c r="G657">
        <v>250000</v>
      </c>
      <c r="H657" s="1">
        <v>1</v>
      </c>
      <c r="I657" s="1" t="s">
        <v>28</v>
      </c>
      <c r="J657" s="1" t="s">
        <v>29</v>
      </c>
      <c r="K657" s="15">
        <v>250000</v>
      </c>
      <c r="N657" s="29">
        <f t="shared" si="10"/>
        <v>250000</v>
      </c>
    </row>
    <row r="658" spans="1:14" x14ac:dyDescent="0.2">
      <c r="A658" s="2" t="s">
        <v>695</v>
      </c>
      <c r="B658" s="3">
        <v>45774</v>
      </c>
      <c r="C658" s="10" t="s">
        <v>13</v>
      </c>
      <c r="D658" s="10" t="s">
        <v>14</v>
      </c>
      <c r="E658" s="1" t="s">
        <v>26</v>
      </c>
      <c r="F658" s="1" t="s">
        <v>32</v>
      </c>
      <c r="G658">
        <v>275000</v>
      </c>
      <c r="H658" s="1">
        <v>2</v>
      </c>
      <c r="I658" s="1" t="s">
        <v>28</v>
      </c>
      <c r="J658" s="1" t="s">
        <v>29</v>
      </c>
      <c r="K658" s="15">
        <v>550000</v>
      </c>
      <c r="N658" s="29">
        <f t="shared" si="10"/>
        <v>550000</v>
      </c>
    </row>
    <row r="659" spans="1:14" x14ac:dyDescent="0.2">
      <c r="A659" s="2" t="s">
        <v>696</v>
      </c>
      <c r="B659" s="3">
        <v>45789</v>
      </c>
      <c r="C659" s="10" t="s">
        <v>23</v>
      </c>
      <c r="D659" s="10" t="s">
        <v>12</v>
      </c>
      <c r="E659" s="1" t="s">
        <v>36</v>
      </c>
      <c r="F659" s="1" t="s">
        <v>45</v>
      </c>
      <c r="G659">
        <v>375000</v>
      </c>
      <c r="H659" s="1">
        <v>1</v>
      </c>
      <c r="I659" s="1" t="s">
        <v>39</v>
      </c>
      <c r="J659" s="1" t="s">
        <v>29</v>
      </c>
      <c r="K659" s="15">
        <v>375000</v>
      </c>
      <c r="N659" s="29">
        <f t="shared" si="10"/>
        <v>375000</v>
      </c>
    </row>
    <row r="660" spans="1:14" x14ac:dyDescent="0.2">
      <c r="A660" s="2" t="s">
        <v>697</v>
      </c>
      <c r="B660" s="3">
        <v>45708</v>
      </c>
      <c r="C660" s="10" t="s">
        <v>19</v>
      </c>
      <c r="D660" s="10" t="s">
        <v>20</v>
      </c>
      <c r="E660" s="1" t="s">
        <v>36</v>
      </c>
      <c r="F660" s="1" t="s">
        <v>45</v>
      </c>
      <c r="G660">
        <v>250000</v>
      </c>
      <c r="H660" s="1">
        <v>3</v>
      </c>
      <c r="I660" s="1" t="s">
        <v>39</v>
      </c>
      <c r="J660" s="1" t="s">
        <v>37</v>
      </c>
      <c r="K660" s="15">
        <v>750000</v>
      </c>
      <c r="N660" s="29">
        <f t="shared" si="10"/>
        <v>750000</v>
      </c>
    </row>
    <row r="661" spans="1:14" x14ac:dyDescent="0.2">
      <c r="A661" s="2" t="s">
        <v>698</v>
      </c>
      <c r="B661" s="3">
        <v>45752</v>
      </c>
      <c r="C661" s="10" t="s">
        <v>11</v>
      </c>
      <c r="D661" s="10" t="s">
        <v>12</v>
      </c>
      <c r="E661" s="1" t="s">
        <v>47</v>
      </c>
      <c r="F661" s="1" t="s">
        <v>60</v>
      </c>
      <c r="G661">
        <v>350000</v>
      </c>
      <c r="H661" s="1">
        <v>3</v>
      </c>
      <c r="I661" s="1" t="s">
        <v>39</v>
      </c>
      <c r="J661" s="1" t="s">
        <v>29</v>
      </c>
      <c r="K661" s="15">
        <v>1050000</v>
      </c>
      <c r="N661" s="29">
        <f t="shared" si="10"/>
        <v>1050000</v>
      </c>
    </row>
    <row r="662" spans="1:14" x14ac:dyDescent="0.2">
      <c r="A662" s="2" t="s">
        <v>699</v>
      </c>
      <c r="B662" s="3">
        <v>45706</v>
      </c>
      <c r="C662" s="10" t="s">
        <v>17</v>
      </c>
      <c r="D662" s="10" t="s">
        <v>18</v>
      </c>
      <c r="E662" s="1" t="s">
        <v>26</v>
      </c>
      <c r="F662" s="1" t="s">
        <v>34</v>
      </c>
      <c r="G662">
        <v>300000</v>
      </c>
      <c r="H662" s="1">
        <v>3</v>
      </c>
      <c r="I662" s="1" t="s">
        <v>28</v>
      </c>
      <c r="J662" s="1" t="s">
        <v>29</v>
      </c>
      <c r="K662" s="15">
        <v>900000</v>
      </c>
      <c r="N662" s="29">
        <f t="shared" si="10"/>
        <v>900000</v>
      </c>
    </row>
    <row r="663" spans="1:14" x14ac:dyDescent="0.2">
      <c r="A663" s="2" t="s">
        <v>700</v>
      </c>
      <c r="B663" s="3">
        <v>45729</v>
      </c>
      <c r="C663" s="10" t="s">
        <v>17</v>
      </c>
      <c r="D663" s="10" t="s">
        <v>18</v>
      </c>
      <c r="E663" s="1" t="s">
        <v>26</v>
      </c>
      <c r="F663" s="1" t="s">
        <v>45</v>
      </c>
      <c r="G663">
        <v>300000</v>
      </c>
      <c r="H663" s="1">
        <v>2</v>
      </c>
      <c r="I663" s="1" t="s">
        <v>39</v>
      </c>
      <c r="J663" s="1" t="s">
        <v>37</v>
      </c>
      <c r="K663" s="15">
        <v>600000</v>
      </c>
      <c r="N663" s="29">
        <f t="shared" si="10"/>
        <v>600000</v>
      </c>
    </row>
    <row r="664" spans="1:14" x14ac:dyDescent="0.2">
      <c r="A664" s="2" t="s">
        <v>701</v>
      </c>
      <c r="B664" s="3">
        <v>45832</v>
      </c>
      <c r="C664" s="10" t="s">
        <v>19</v>
      </c>
      <c r="D664" s="10" t="s">
        <v>20</v>
      </c>
      <c r="E664" s="1" t="s">
        <v>31</v>
      </c>
      <c r="F664" s="1" t="s">
        <v>60</v>
      </c>
      <c r="G664">
        <v>250000</v>
      </c>
      <c r="H664" s="1">
        <v>3</v>
      </c>
      <c r="I664" s="1" t="s">
        <v>28</v>
      </c>
      <c r="J664" s="1" t="s">
        <v>37</v>
      </c>
      <c r="K664" s="15">
        <v>750000</v>
      </c>
      <c r="N664" s="29">
        <f t="shared" si="10"/>
        <v>750000</v>
      </c>
    </row>
    <row r="665" spans="1:14" x14ac:dyDescent="0.2">
      <c r="A665" s="2" t="s">
        <v>702</v>
      </c>
      <c r="B665" s="3">
        <v>45728</v>
      </c>
      <c r="C665" s="10" t="s">
        <v>17</v>
      </c>
      <c r="D665" s="10" t="s">
        <v>18</v>
      </c>
      <c r="E665" s="1" t="s">
        <v>31</v>
      </c>
      <c r="F665" s="1" t="s">
        <v>41</v>
      </c>
      <c r="G665">
        <v>300000</v>
      </c>
      <c r="H665" s="1">
        <v>1</v>
      </c>
      <c r="I665" s="1" t="s">
        <v>28</v>
      </c>
      <c r="J665" s="1" t="s">
        <v>37</v>
      </c>
      <c r="K665" s="15">
        <v>300000</v>
      </c>
      <c r="N665" s="29">
        <f t="shared" si="10"/>
        <v>300000</v>
      </c>
    </row>
    <row r="666" spans="1:14" x14ac:dyDescent="0.2">
      <c r="A666" s="2" t="s">
        <v>703</v>
      </c>
      <c r="B666" s="3">
        <v>45666</v>
      </c>
      <c r="C666" s="10" t="s">
        <v>19</v>
      </c>
      <c r="D666" s="10" t="s">
        <v>20</v>
      </c>
      <c r="E666" s="1" t="s">
        <v>26</v>
      </c>
      <c r="F666" s="1" t="s">
        <v>45</v>
      </c>
      <c r="G666">
        <v>250000</v>
      </c>
      <c r="H666" s="1">
        <v>3</v>
      </c>
      <c r="I666" s="1" t="s">
        <v>28</v>
      </c>
      <c r="J666" s="1" t="s">
        <v>29</v>
      </c>
      <c r="K666" s="15">
        <v>750000</v>
      </c>
      <c r="N666" s="29">
        <f t="shared" si="10"/>
        <v>750000</v>
      </c>
    </row>
    <row r="667" spans="1:14" x14ac:dyDescent="0.2">
      <c r="A667" s="2" t="s">
        <v>704</v>
      </c>
      <c r="B667" s="3">
        <v>45710</v>
      </c>
      <c r="C667" s="10" t="s">
        <v>17</v>
      </c>
      <c r="D667" s="10" t="s">
        <v>18</v>
      </c>
      <c r="E667" s="1" t="s">
        <v>31</v>
      </c>
      <c r="F667" s="1" t="s">
        <v>27</v>
      </c>
      <c r="G667">
        <v>300000</v>
      </c>
      <c r="H667" s="1">
        <v>2</v>
      </c>
      <c r="I667" s="1" t="s">
        <v>39</v>
      </c>
      <c r="J667" s="1" t="s">
        <v>29</v>
      </c>
      <c r="K667" s="15">
        <v>600000</v>
      </c>
      <c r="N667" s="29">
        <f t="shared" si="10"/>
        <v>600000</v>
      </c>
    </row>
    <row r="668" spans="1:14" x14ac:dyDescent="0.2">
      <c r="A668" s="2" t="s">
        <v>705</v>
      </c>
      <c r="B668" s="3">
        <v>45724</v>
      </c>
      <c r="C668" s="10" t="s">
        <v>24</v>
      </c>
      <c r="D668" s="10" t="s">
        <v>16</v>
      </c>
      <c r="E668" s="1" t="s">
        <v>26</v>
      </c>
      <c r="F668" s="1" t="s">
        <v>34</v>
      </c>
      <c r="G668">
        <v>240000</v>
      </c>
      <c r="H668" s="1">
        <v>3</v>
      </c>
      <c r="I668" s="1" t="s">
        <v>39</v>
      </c>
      <c r="J668" s="1" t="s">
        <v>29</v>
      </c>
      <c r="K668" s="15">
        <v>720000</v>
      </c>
      <c r="N668" s="29">
        <f t="shared" si="10"/>
        <v>720000</v>
      </c>
    </row>
    <row r="669" spans="1:14" x14ac:dyDescent="0.2">
      <c r="A669" s="2" t="s">
        <v>706</v>
      </c>
      <c r="B669" s="3">
        <v>45678</v>
      </c>
      <c r="C669" s="10" t="s">
        <v>19</v>
      </c>
      <c r="D669" s="10" t="s">
        <v>20</v>
      </c>
      <c r="E669" s="1" t="s">
        <v>47</v>
      </c>
      <c r="F669" s="1" t="s">
        <v>60</v>
      </c>
      <c r="G669">
        <v>250000</v>
      </c>
      <c r="H669" s="1">
        <v>2</v>
      </c>
      <c r="I669" s="1" t="s">
        <v>28</v>
      </c>
      <c r="J669" s="1" t="s">
        <v>37</v>
      </c>
      <c r="K669" s="15">
        <v>500000</v>
      </c>
      <c r="N669" s="29">
        <f t="shared" si="10"/>
        <v>500000</v>
      </c>
    </row>
    <row r="670" spans="1:14" x14ac:dyDescent="0.2">
      <c r="A670" s="2" t="s">
        <v>707</v>
      </c>
      <c r="B670" s="3">
        <v>45682</v>
      </c>
      <c r="C670" s="10" t="s">
        <v>17</v>
      </c>
      <c r="D670" s="10" t="s">
        <v>18</v>
      </c>
      <c r="E670" s="1" t="s">
        <v>26</v>
      </c>
      <c r="F670" s="1" t="s">
        <v>32</v>
      </c>
      <c r="G670">
        <v>300000</v>
      </c>
      <c r="H670" s="1">
        <v>3</v>
      </c>
      <c r="I670" s="1" t="s">
        <v>39</v>
      </c>
      <c r="J670" s="1" t="s">
        <v>37</v>
      </c>
      <c r="K670" s="15">
        <v>900000</v>
      </c>
      <c r="N670" s="29">
        <f t="shared" si="10"/>
        <v>900000</v>
      </c>
    </row>
    <row r="671" spans="1:14" x14ac:dyDescent="0.2">
      <c r="A671" s="2" t="s">
        <v>708</v>
      </c>
      <c r="B671" s="3">
        <v>45660</v>
      </c>
      <c r="C671" s="10" t="s">
        <v>17</v>
      </c>
      <c r="D671" s="10" t="s">
        <v>18</v>
      </c>
      <c r="E671" s="1" t="s">
        <v>26</v>
      </c>
      <c r="F671" s="1" t="s">
        <v>27</v>
      </c>
      <c r="G671">
        <v>300000</v>
      </c>
      <c r="H671" s="1">
        <v>1</v>
      </c>
      <c r="I671" s="1" t="s">
        <v>28</v>
      </c>
      <c r="J671" s="1" t="s">
        <v>37</v>
      </c>
      <c r="K671" s="15">
        <v>300000</v>
      </c>
      <c r="N671" s="29">
        <f t="shared" si="10"/>
        <v>300000</v>
      </c>
    </row>
    <row r="672" spans="1:14" x14ac:dyDescent="0.2">
      <c r="A672" s="2" t="s">
        <v>709</v>
      </c>
      <c r="B672" s="3">
        <v>45745</v>
      </c>
      <c r="C672" s="10" t="s">
        <v>23</v>
      </c>
      <c r="D672" s="10" t="s">
        <v>12</v>
      </c>
      <c r="E672" s="1" t="s">
        <v>36</v>
      </c>
      <c r="F672" s="1" t="s">
        <v>41</v>
      </c>
      <c r="G672">
        <v>375000</v>
      </c>
      <c r="H672" s="1">
        <v>2</v>
      </c>
      <c r="I672" s="1" t="s">
        <v>39</v>
      </c>
      <c r="J672" s="1" t="s">
        <v>37</v>
      </c>
      <c r="K672" s="15">
        <v>750000</v>
      </c>
      <c r="N672" s="29">
        <f t="shared" si="10"/>
        <v>750000</v>
      </c>
    </row>
    <row r="673" spans="1:14" x14ac:dyDescent="0.2">
      <c r="A673" s="2" t="s">
        <v>710</v>
      </c>
      <c r="B673" s="3">
        <v>45723</v>
      </c>
      <c r="C673" s="10" t="s">
        <v>13</v>
      </c>
      <c r="D673" s="10" t="s">
        <v>14</v>
      </c>
      <c r="E673" s="1" t="s">
        <v>31</v>
      </c>
      <c r="F673" s="1" t="s">
        <v>41</v>
      </c>
      <c r="G673">
        <v>275000</v>
      </c>
      <c r="H673" s="1">
        <v>1</v>
      </c>
      <c r="I673" s="1" t="s">
        <v>28</v>
      </c>
      <c r="J673" s="1" t="s">
        <v>29</v>
      </c>
      <c r="K673" s="15">
        <v>275000</v>
      </c>
      <c r="N673" s="29">
        <f t="shared" si="10"/>
        <v>275000</v>
      </c>
    </row>
    <row r="674" spans="1:14" x14ac:dyDescent="0.2">
      <c r="A674" s="2" t="s">
        <v>711</v>
      </c>
      <c r="B674" s="3">
        <v>45754</v>
      </c>
      <c r="C674" s="10" t="s">
        <v>23</v>
      </c>
      <c r="D674" s="10" t="s">
        <v>12</v>
      </c>
      <c r="E674" s="1" t="s">
        <v>31</v>
      </c>
      <c r="F674" s="1" t="s">
        <v>45</v>
      </c>
      <c r="G674">
        <v>375000</v>
      </c>
      <c r="H674" s="1">
        <v>2</v>
      </c>
      <c r="I674" s="1" t="s">
        <v>39</v>
      </c>
      <c r="J674" s="1" t="s">
        <v>29</v>
      </c>
      <c r="K674" s="15">
        <v>750000</v>
      </c>
      <c r="N674" s="29">
        <f t="shared" si="10"/>
        <v>750000</v>
      </c>
    </row>
    <row r="675" spans="1:14" x14ac:dyDescent="0.2">
      <c r="A675" s="2" t="s">
        <v>712</v>
      </c>
      <c r="B675" s="3">
        <v>45700</v>
      </c>
      <c r="C675" s="10" t="s">
        <v>21</v>
      </c>
      <c r="D675" s="10" t="s">
        <v>22</v>
      </c>
      <c r="E675" s="1" t="s">
        <v>26</v>
      </c>
      <c r="F675" s="1" t="s">
        <v>32</v>
      </c>
      <c r="G675">
        <v>75000</v>
      </c>
      <c r="H675" s="1">
        <v>3</v>
      </c>
      <c r="I675" s="1" t="s">
        <v>39</v>
      </c>
      <c r="J675" s="1" t="s">
        <v>37</v>
      </c>
      <c r="K675" s="15">
        <v>225000</v>
      </c>
      <c r="N675" s="29">
        <f t="shared" si="10"/>
        <v>225000</v>
      </c>
    </row>
    <row r="676" spans="1:14" x14ac:dyDescent="0.2">
      <c r="A676" s="2" t="s">
        <v>713</v>
      </c>
      <c r="B676" s="3">
        <v>45832</v>
      </c>
      <c r="C676" s="10" t="s">
        <v>17</v>
      </c>
      <c r="D676" s="10" t="s">
        <v>18</v>
      </c>
      <c r="E676" s="1" t="s">
        <v>31</v>
      </c>
      <c r="F676" s="1" t="s">
        <v>27</v>
      </c>
      <c r="G676">
        <v>300000</v>
      </c>
      <c r="H676" s="1">
        <v>1</v>
      </c>
      <c r="I676" s="1" t="s">
        <v>39</v>
      </c>
      <c r="J676" s="1" t="s">
        <v>37</v>
      </c>
      <c r="K676" s="15">
        <v>300000</v>
      </c>
      <c r="N676" s="29">
        <f t="shared" si="10"/>
        <v>300000</v>
      </c>
    </row>
    <row r="677" spans="1:14" x14ac:dyDescent="0.2">
      <c r="A677" s="2" t="s">
        <v>714</v>
      </c>
      <c r="B677" s="3">
        <v>45736</v>
      </c>
      <c r="C677" s="10" t="s">
        <v>21</v>
      </c>
      <c r="D677" s="10" t="s">
        <v>22</v>
      </c>
      <c r="E677" s="1" t="s">
        <v>47</v>
      </c>
      <c r="F677" s="1" t="s">
        <v>34</v>
      </c>
      <c r="G677">
        <v>75000</v>
      </c>
      <c r="H677" s="1">
        <v>1</v>
      </c>
      <c r="I677" s="1" t="s">
        <v>28</v>
      </c>
      <c r="J677" s="1" t="s">
        <v>29</v>
      </c>
      <c r="K677" s="15">
        <v>75000</v>
      </c>
      <c r="N677" s="29">
        <f t="shared" si="10"/>
        <v>75000</v>
      </c>
    </row>
    <row r="678" spans="1:14" x14ac:dyDescent="0.2">
      <c r="A678" s="2" t="s">
        <v>715</v>
      </c>
      <c r="B678" s="3">
        <v>45833</v>
      </c>
      <c r="C678" s="10" t="s">
        <v>15</v>
      </c>
      <c r="D678" s="10" t="s">
        <v>16</v>
      </c>
      <c r="E678" s="1" t="s">
        <v>47</v>
      </c>
      <c r="F678" s="1" t="s">
        <v>27</v>
      </c>
      <c r="G678">
        <v>225000</v>
      </c>
      <c r="H678" s="1">
        <v>2</v>
      </c>
      <c r="I678" s="1" t="s">
        <v>28</v>
      </c>
      <c r="J678" s="1" t="s">
        <v>29</v>
      </c>
      <c r="K678" s="15">
        <v>450000</v>
      </c>
      <c r="N678" s="29">
        <f t="shared" si="10"/>
        <v>450000</v>
      </c>
    </row>
    <row r="679" spans="1:14" x14ac:dyDescent="0.2">
      <c r="A679" s="2" t="s">
        <v>716</v>
      </c>
      <c r="B679" s="3">
        <v>45822</v>
      </c>
      <c r="C679" s="10" t="s">
        <v>19</v>
      </c>
      <c r="D679" s="10" t="s">
        <v>20</v>
      </c>
      <c r="E679" s="1" t="s">
        <v>31</v>
      </c>
      <c r="F679" s="1" t="s">
        <v>41</v>
      </c>
      <c r="G679">
        <v>250000</v>
      </c>
      <c r="H679" s="1">
        <v>3</v>
      </c>
      <c r="I679" s="1" t="s">
        <v>39</v>
      </c>
      <c r="J679" s="1" t="s">
        <v>37</v>
      </c>
      <c r="K679" s="15">
        <v>750000</v>
      </c>
      <c r="N679" s="29">
        <f t="shared" si="10"/>
        <v>750000</v>
      </c>
    </row>
    <row r="680" spans="1:14" x14ac:dyDescent="0.2">
      <c r="A680" s="2" t="s">
        <v>717</v>
      </c>
      <c r="B680" s="3">
        <v>45820</v>
      </c>
      <c r="C680" s="10" t="s">
        <v>21</v>
      </c>
      <c r="D680" s="10" t="s">
        <v>22</v>
      </c>
      <c r="E680" s="1" t="s">
        <v>31</v>
      </c>
      <c r="F680" s="1" t="s">
        <v>45</v>
      </c>
      <c r="G680">
        <v>75000</v>
      </c>
      <c r="H680" s="1">
        <v>2</v>
      </c>
      <c r="I680" s="1" t="s">
        <v>28</v>
      </c>
      <c r="J680" s="1" t="s">
        <v>37</v>
      </c>
      <c r="K680" s="15">
        <v>150000</v>
      </c>
      <c r="N680" s="29">
        <f t="shared" si="10"/>
        <v>150000</v>
      </c>
    </row>
    <row r="681" spans="1:14" x14ac:dyDescent="0.2">
      <c r="A681" s="2" t="s">
        <v>718</v>
      </c>
      <c r="B681" s="3">
        <v>45698</v>
      </c>
      <c r="C681" s="10" t="s">
        <v>21</v>
      </c>
      <c r="D681" s="10" t="s">
        <v>22</v>
      </c>
      <c r="E681" s="1" t="s">
        <v>26</v>
      </c>
      <c r="F681" s="1" t="s">
        <v>60</v>
      </c>
      <c r="G681">
        <v>75000</v>
      </c>
      <c r="H681" s="1">
        <v>2</v>
      </c>
      <c r="I681" s="1" t="s">
        <v>28</v>
      </c>
      <c r="J681" s="1" t="s">
        <v>37</v>
      </c>
      <c r="K681" s="15">
        <v>150000</v>
      </c>
      <c r="N681" s="29">
        <f t="shared" si="10"/>
        <v>150000</v>
      </c>
    </row>
    <row r="682" spans="1:14" x14ac:dyDescent="0.2">
      <c r="A682" s="2" t="s">
        <v>719</v>
      </c>
      <c r="B682" s="3">
        <v>45677</v>
      </c>
      <c r="C682" s="10" t="s">
        <v>23</v>
      </c>
      <c r="D682" s="10" t="s">
        <v>12</v>
      </c>
      <c r="E682" s="1" t="s">
        <v>31</v>
      </c>
      <c r="F682" s="1" t="s">
        <v>45</v>
      </c>
      <c r="G682">
        <v>375000</v>
      </c>
      <c r="H682" s="1">
        <v>1</v>
      </c>
      <c r="I682" s="1" t="s">
        <v>28</v>
      </c>
      <c r="J682" s="1" t="s">
        <v>37</v>
      </c>
      <c r="K682" s="15">
        <v>375000</v>
      </c>
      <c r="N682" s="29">
        <f t="shared" si="10"/>
        <v>375000</v>
      </c>
    </row>
    <row r="683" spans="1:14" x14ac:dyDescent="0.2">
      <c r="A683" s="2" t="s">
        <v>720</v>
      </c>
      <c r="B683" s="3">
        <v>45832</v>
      </c>
      <c r="C683" s="10" t="s">
        <v>23</v>
      </c>
      <c r="D683" s="10" t="s">
        <v>12</v>
      </c>
      <c r="E683" s="1" t="s">
        <v>36</v>
      </c>
      <c r="F683" s="1" t="s">
        <v>27</v>
      </c>
      <c r="G683">
        <v>375000</v>
      </c>
      <c r="H683" s="1">
        <v>3</v>
      </c>
      <c r="I683" s="1" t="s">
        <v>28</v>
      </c>
      <c r="J683" s="1" t="s">
        <v>29</v>
      </c>
      <c r="K683" s="15">
        <v>1125000</v>
      </c>
      <c r="N683" s="29">
        <f t="shared" si="10"/>
        <v>1125000</v>
      </c>
    </row>
    <row r="684" spans="1:14" x14ac:dyDescent="0.2">
      <c r="A684" s="2" t="s">
        <v>721</v>
      </c>
      <c r="B684" s="3">
        <v>45768</v>
      </c>
      <c r="C684" s="10" t="s">
        <v>19</v>
      </c>
      <c r="D684" s="10" t="s">
        <v>20</v>
      </c>
      <c r="E684" s="1" t="s">
        <v>31</v>
      </c>
      <c r="F684" s="1" t="s">
        <v>27</v>
      </c>
      <c r="G684">
        <v>250000</v>
      </c>
      <c r="H684" s="1">
        <v>2</v>
      </c>
      <c r="I684" s="1" t="s">
        <v>39</v>
      </c>
      <c r="J684" s="1" t="s">
        <v>37</v>
      </c>
      <c r="K684" s="15">
        <v>500000</v>
      </c>
      <c r="N684" s="29">
        <f t="shared" si="10"/>
        <v>500000</v>
      </c>
    </row>
    <row r="685" spans="1:14" x14ac:dyDescent="0.2">
      <c r="A685" s="2" t="s">
        <v>722</v>
      </c>
      <c r="B685" s="3">
        <v>45774</v>
      </c>
      <c r="C685" s="10" t="s">
        <v>17</v>
      </c>
      <c r="D685" s="10" t="s">
        <v>18</v>
      </c>
      <c r="E685" s="1" t="s">
        <v>31</v>
      </c>
      <c r="F685" s="1" t="s">
        <v>60</v>
      </c>
      <c r="G685">
        <v>300000</v>
      </c>
      <c r="H685" s="1">
        <v>3</v>
      </c>
      <c r="I685" s="1" t="s">
        <v>39</v>
      </c>
      <c r="J685" s="1" t="s">
        <v>37</v>
      </c>
      <c r="K685" s="15">
        <v>900000</v>
      </c>
      <c r="N685" s="29">
        <f t="shared" si="10"/>
        <v>900000</v>
      </c>
    </row>
    <row r="686" spans="1:14" x14ac:dyDescent="0.2">
      <c r="A686" s="2" t="s">
        <v>723</v>
      </c>
      <c r="B686" s="3">
        <v>45684</v>
      </c>
      <c r="C686" s="10" t="s">
        <v>11</v>
      </c>
      <c r="D686" s="10" t="s">
        <v>12</v>
      </c>
      <c r="E686" s="1" t="s">
        <v>36</v>
      </c>
      <c r="F686" s="1" t="s">
        <v>34</v>
      </c>
      <c r="G686">
        <v>350000</v>
      </c>
      <c r="H686" s="1">
        <v>1</v>
      </c>
      <c r="I686" s="1" t="s">
        <v>28</v>
      </c>
      <c r="J686" s="1" t="s">
        <v>37</v>
      </c>
      <c r="K686" s="15">
        <v>350000</v>
      </c>
      <c r="N686" s="29">
        <f t="shared" si="10"/>
        <v>350000</v>
      </c>
    </row>
    <row r="687" spans="1:14" x14ac:dyDescent="0.2">
      <c r="A687" s="2" t="s">
        <v>724</v>
      </c>
      <c r="B687" s="3">
        <v>45763</v>
      </c>
      <c r="C687" s="10" t="s">
        <v>11</v>
      </c>
      <c r="D687" s="10" t="s">
        <v>12</v>
      </c>
      <c r="E687" s="1" t="s">
        <v>47</v>
      </c>
      <c r="F687" s="1" t="s">
        <v>60</v>
      </c>
      <c r="G687">
        <v>350000</v>
      </c>
      <c r="H687" s="1">
        <v>2</v>
      </c>
      <c r="I687" s="1" t="s">
        <v>28</v>
      </c>
      <c r="J687" s="1" t="s">
        <v>37</v>
      </c>
      <c r="K687" s="15">
        <v>700000</v>
      </c>
      <c r="N687" s="29">
        <f t="shared" si="10"/>
        <v>700000</v>
      </c>
    </row>
    <row r="688" spans="1:14" x14ac:dyDescent="0.2">
      <c r="A688" s="2" t="s">
        <v>725</v>
      </c>
      <c r="B688" s="3">
        <v>45741</v>
      </c>
      <c r="C688" s="10" t="s">
        <v>17</v>
      </c>
      <c r="D688" s="10" t="s">
        <v>18</v>
      </c>
      <c r="E688" s="1" t="s">
        <v>26</v>
      </c>
      <c r="F688" s="1" t="s">
        <v>45</v>
      </c>
      <c r="G688">
        <v>300000</v>
      </c>
      <c r="H688" s="1">
        <v>1</v>
      </c>
      <c r="I688" s="1" t="s">
        <v>39</v>
      </c>
      <c r="J688" s="1" t="s">
        <v>37</v>
      </c>
      <c r="K688" s="15">
        <v>300000</v>
      </c>
      <c r="N688" s="29">
        <f t="shared" si="10"/>
        <v>300000</v>
      </c>
    </row>
    <row r="689" spans="1:14" x14ac:dyDescent="0.2">
      <c r="A689" s="2" t="s">
        <v>726</v>
      </c>
      <c r="B689" s="3">
        <v>45729</v>
      </c>
      <c r="C689" s="10" t="s">
        <v>21</v>
      </c>
      <c r="D689" s="10" t="s">
        <v>22</v>
      </c>
      <c r="E689" s="1" t="s">
        <v>36</v>
      </c>
      <c r="F689" s="1" t="s">
        <v>60</v>
      </c>
      <c r="G689">
        <v>75000</v>
      </c>
      <c r="H689" s="1">
        <v>2</v>
      </c>
      <c r="I689" s="1" t="s">
        <v>39</v>
      </c>
      <c r="J689" s="1" t="s">
        <v>29</v>
      </c>
      <c r="K689" s="15">
        <v>150000</v>
      </c>
      <c r="N689" s="29">
        <f t="shared" si="10"/>
        <v>150000</v>
      </c>
    </row>
    <row r="690" spans="1:14" x14ac:dyDescent="0.2">
      <c r="A690" s="2" t="s">
        <v>727</v>
      </c>
      <c r="B690" s="3">
        <v>45707</v>
      </c>
      <c r="C690" s="10" t="s">
        <v>11</v>
      </c>
      <c r="D690" s="10" t="s">
        <v>12</v>
      </c>
      <c r="E690" s="1" t="s">
        <v>36</v>
      </c>
      <c r="F690" s="1" t="s">
        <v>45</v>
      </c>
      <c r="G690">
        <v>350000</v>
      </c>
      <c r="H690" s="1">
        <v>2</v>
      </c>
      <c r="I690" s="1" t="s">
        <v>39</v>
      </c>
      <c r="J690" s="1" t="s">
        <v>29</v>
      </c>
      <c r="K690" s="15">
        <v>700000</v>
      </c>
      <c r="N690" s="29">
        <f t="shared" si="10"/>
        <v>700000</v>
      </c>
    </row>
    <row r="691" spans="1:14" x14ac:dyDescent="0.2">
      <c r="A691" s="2" t="s">
        <v>728</v>
      </c>
      <c r="B691" s="3">
        <v>45719</v>
      </c>
      <c r="C691" s="10" t="s">
        <v>19</v>
      </c>
      <c r="D691" s="10" t="s">
        <v>20</v>
      </c>
      <c r="E691" s="1" t="s">
        <v>47</v>
      </c>
      <c r="F691" s="1" t="s">
        <v>27</v>
      </c>
      <c r="G691">
        <v>250000</v>
      </c>
      <c r="H691" s="1">
        <v>1</v>
      </c>
      <c r="I691" s="1" t="s">
        <v>28</v>
      </c>
      <c r="J691" s="1" t="s">
        <v>29</v>
      </c>
      <c r="K691" s="15">
        <v>250000</v>
      </c>
      <c r="N691" s="29">
        <f t="shared" si="10"/>
        <v>250000</v>
      </c>
    </row>
    <row r="692" spans="1:14" x14ac:dyDescent="0.2">
      <c r="A692" s="2" t="s">
        <v>729</v>
      </c>
      <c r="B692" s="3">
        <v>45723</v>
      </c>
      <c r="C692" s="10" t="s">
        <v>21</v>
      </c>
      <c r="D692" s="10" t="s">
        <v>22</v>
      </c>
      <c r="E692" s="1" t="s">
        <v>36</v>
      </c>
      <c r="F692" s="1" t="s">
        <v>32</v>
      </c>
      <c r="G692">
        <v>75000</v>
      </c>
      <c r="H692" s="1">
        <v>1</v>
      </c>
      <c r="I692" s="1" t="s">
        <v>39</v>
      </c>
      <c r="J692" s="1" t="s">
        <v>37</v>
      </c>
      <c r="K692" s="15">
        <v>75000</v>
      </c>
      <c r="N692" s="29">
        <f t="shared" si="10"/>
        <v>75000</v>
      </c>
    </row>
    <row r="693" spans="1:14" x14ac:dyDescent="0.2">
      <c r="A693" s="2" t="s">
        <v>730</v>
      </c>
      <c r="B693" s="3">
        <v>45794</v>
      </c>
      <c r="C693" s="10" t="s">
        <v>13</v>
      </c>
      <c r="D693" s="10" t="s">
        <v>14</v>
      </c>
      <c r="E693" s="1" t="s">
        <v>31</v>
      </c>
      <c r="F693" s="1" t="s">
        <v>32</v>
      </c>
      <c r="G693">
        <v>275000</v>
      </c>
      <c r="H693" s="1">
        <v>2</v>
      </c>
      <c r="I693" s="1" t="s">
        <v>39</v>
      </c>
      <c r="J693" s="1" t="s">
        <v>37</v>
      </c>
      <c r="K693" s="15">
        <v>550000</v>
      </c>
      <c r="N693" s="29">
        <f t="shared" si="10"/>
        <v>550000</v>
      </c>
    </row>
    <row r="694" spans="1:14" x14ac:dyDescent="0.2">
      <c r="A694" s="2" t="s">
        <v>731</v>
      </c>
      <c r="B694" s="3">
        <v>45710</v>
      </c>
      <c r="C694" s="10" t="s">
        <v>23</v>
      </c>
      <c r="D694" s="10" t="s">
        <v>12</v>
      </c>
      <c r="E694" s="1" t="s">
        <v>26</v>
      </c>
      <c r="F694" s="1" t="s">
        <v>45</v>
      </c>
      <c r="G694">
        <v>375000</v>
      </c>
      <c r="H694" s="1">
        <v>2</v>
      </c>
      <c r="I694" s="1" t="s">
        <v>28</v>
      </c>
      <c r="J694" s="1" t="s">
        <v>37</v>
      </c>
      <c r="K694" s="15">
        <v>750000</v>
      </c>
      <c r="N694" s="29">
        <f t="shared" si="10"/>
        <v>750000</v>
      </c>
    </row>
    <row r="695" spans="1:14" x14ac:dyDescent="0.2">
      <c r="A695" s="2" t="s">
        <v>732</v>
      </c>
      <c r="B695" s="3">
        <v>45753</v>
      </c>
      <c r="C695" s="10" t="s">
        <v>15</v>
      </c>
      <c r="D695" s="10" t="s">
        <v>16</v>
      </c>
      <c r="E695" s="1" t="s">
        <v>31</v>
      </c>
      <c r="F695" s="1" t="s">
        <v>41</v>
      </c>
      <c r="G695">
        <v>225000</v>
      </c>
      <c r="H695" s="1">
        <v>2</v>
      </c>
      <c r="I695" s="1" t="s">
        <v>39</v>
      </c>
      <c r="J695" s="1" t="s">
        <v>29</v>
      </c>
      <c r="K695" s="15">
        <v>450000</v>
      </c>
      <c r="N695" s="29">
        <f t="shared" si="10"/>
        <v>450000</v>
      </c>
    </row>
    <row r="696" spans="1:14" x14ac:dyDescent="0.2">
      <c r="A696" s="2" t="s">
        <v>733</v>
      </c>
      <c r="B696" s="3">
        <v>45749</v>
      </c>
      <c r="C696" s="10" t="s">
        <v>24</v>
      </c>
      <c r="D696" s="10" t="s">
        <v>16</v>
      </c>
      <c r="E696" s="1" t="s">
        <v>36</v>
      </c>
      <c r="F696" s="1" t="s">
        <v>45</v>
      </c>
      <c r="G696">
        <v>240000</v>
      </c>
      <c r="H696" s="1">
        <v>3</v>
      </c>
      <c r="I696" s="1" t="s">
        <v>28</v>
      </c>
      <c r="J696" s="1" t="s">
        <v>37</v>
      </c>
      <c r="K696" s="15">
        <v>720000</v>
      </c>
      <c r="N696" s="29">
        <f t="shared" si="10"/>
        <v>720000</v>
      </c>
    </row>
    <row r="697" spans="1:14" x14ac:dyDescent="0.2">
      <c r="A697" s="2" t="s">
        <v>734</v>
      </c>
      <c r="B697" s="3">
        <v>45742</v>
      </c>
      <c r="C697" s="10" t="s">
        <v>11</v>
      </c>
      <c r="D697" s="10" t="s">
        <v>12</v>
      </c>
      <c r="E697" s="1" t="s">
        <v>47</v>
      </c>
      <c r="F697" s="1" t="s">
        <v>45</v>
      </c>
      <c r="G697">
        <v>350000</v>
      </c>
      <c r="H697" s="1">
        <v>1</v>
      </c>
      <c r="I697" s="1" t="s">
        <v>28</v>
      </c>
      <c r="J697" s="1" t="s">
        <v>37</v>
      </c>
      <c r="K697" s="15">
        <v>350000</v>
      </c>
      <c r="N697" s="29">
        <f t="shared" si="10"/>
        <v>350000</v>
      </c>
    </row>
    <row r="698" spans="1:14" x14ac:dyDescent="0.2">
      <c r="A698" s="2" t="s">
        <v>735</v>
      </c>
      <c r="B698" s="3">
        <v>45756</v>
      </c>
      <c r="C698" s="10" t="s">
        <v>17</v>
      </c>
      <c r="D698" s="10" t="s">
        <v>18</v>
      </c>
      <c r="E698" s="1" t="s">
        <v>26</v>
      </c>
      <c r="F698" s="1" t="s">
        <v>45</v>
      </c>
      <c r="G698">
        <v>300000</v>
      </c>
      <c r="H698" s="1">
        <v>3</v>
      </c>
      <c r="I698" s="1" t="s">
        <v>28</v>
      </c>
      <c r="J698" s="1" t="s">
        <v>37</v>
      </c>
      <c r="K698" s="15">
        <v>900000</v>
      </c>
      <c r="N698" s="29">
        <f t="shared" si="10"/>
        <v>900000</v>
      </c>
    </row>
    <row r="699" spans="1:14" x14ac:dyDescent="0.2">
      <c r="A699" s="2" t="s">
        <v>736</v>
      </c>
      <c r="B699" s="3">
        <v>45811</v>
      </c>
      <c r="C699" s="10" t="s">
        <v>19</v>
      </c>
      <c r="D699" s="10" t="s">
        <v>20</v>
      </c>
      <c r="E699" s="1" t="s">
        <v>31</v>
      </c>
      <c r="F699" s="1" t="s">
        <v>34</v>
      </c>
      <c r="G699">
        <v>250000</v>
      </c>
      <c r="H699" s="1">
        <v>2</v>
      </c>
      <c r="I699" s="1" t="s">
        <v>28</v>
      </c>
      <c r="J699" s="1" t="s">
        <v>37</v>
      </c>
      <c r="K699" s="15">
        <v>500000</v>
      </c>
      <c r="N699" s="29">
        <f t="shared" si="10"/>
        <v>500000</v>
      </c>
    </row>
    <row r="700" spans="1:14" x14ac:dyDescent="0.2">
      <c r="A700" s="2" t="s">
        <v>737</v>
      </c>
      <c r="B700" s="3">
        <v>45679</v>
      </c>
      <c r="C700" s="10" t="s">
        <v>19</v>
      </c>
      <c r="D700" s="10" t="s">
        <v>20</v>
      </c>
      <c r="E700" s="1" t="s">
        <v>26</v>
      </c>
      <c r="F700" s="1" t="s">
        <v>45</v>
      </c>
      <c r="G700">
        <v>250000</v>
      </c>
      <c r="H700" s="1">
        <v>1</v>
      </c>
      <c r="I700" s="1" t="s">
        <v>28</v>
      </c>
      <c r="J700" s="1" t="s">
        <v>37</v>
      </c>
      <c r="K700" s="15">
        <v>250000</v>
      </c>
      <c r="N700" s="29">
        <f t="shared" si="10"/>
        <v>250000</v>
      </c>
    </row>
    <row r="701" spans="1:14" x14ac:dyDescent="0.2">
      <c r="A701" s="2" t="s">
        <v>738</v>
      </c>
      <c r="B701" s="3">
        <v>45661</v>
      </c>
      <c r="C701" s="10" t="s">
        <v>24</v>
      </c>
      <c r="D701" s="10" t="s">
        <v>16</v>
      </c>
      <c r="E701" s="1" t="s">
        <v>26</v>
      </c>
      <c r="F701" s="1" t="s">
        <v>45</v>
      </c>
      <c r="G701">
        <v>240000</v>
      </c>
      <c r="H701" s="1">
        <v>2</v>
      </c>
      <c r="I701" s="1" t="s">
        <v>28</v>
      </c>
      <c r="J701" s="1" t="s">
        <v>29</v>
      </c>
      <c r="K701" s="15">
        <v>480000</v>
      </c>
      <c r="N701" s="29">
        <f t="shared" si="10"/>
        <v>480000</v>
      </c>
    </row>
    <row r="702" spans="1:14" x14ac:dyDescent="0.2">
      <c r="A702" s="2" t="s">
        <v>739</v>
      </c>
      <c r="B702" s="3">
        <v>45743</v>
      </c>
      <c r="C702" s="10" t="s">
        <v>11</v>
      </c>
      <c r="D702" s="10" t="s">
        <v>12</v>
      </c>
      <c r="E702" s="1" t="s">
        <v>36</v>
      </c>
      <c r="F702" s="1" t="s">
        <v>32</v>
      </c>
      <c r="G702">
        <v>350000</v>
      </c>
      <c r="H702" s="1">
        <v>2</v>
      </c>
      <c r="I702" s="1" t="s">
        <v>28</v>
      </c>
      <c r="J702" s="1" t="s">
        <v>29</v>
      </c>
      <c r="K702" s="15">
        <v>700000</v>
      </c>
      <c r="N702" s="29">
        <f t="shared" si="10"/>
        <v>700000</v>
      </c>
    </row>
    <row r="703" spans="1:14" x14ac:dyDescent="0.2">
      <c r="A703" s="2" t="s">
        <v>740</v>
      </c>
      <c r="B703" s="3">
        <v>45827</v>
      </c>
      <c r="C703" s="10" t="s">
        <v>13</v>
      </c>
      <c r="D703" s="10" t="s">
        <v>14</v>
      </c>
      <c r="E703" s="1" t="s">
        <v>31</v>
      </c>
      <c r="F703" s="1" t="s">
        <v>60</v>
      </c>
      <c r="G703">
        <v>275000</v>
      </c>
      <c r="H703" s="1">
        <v>1</v>
      </c>
      <c r="I703" s="1" t="s">
        <v>28</v>
      </c>
      <c r="J703" s="1" t="s">
        <v>29</v>
      </c>
      <c r="K703" s="15">
        <v>275000</v>
      </c>
      <c r="N703" s="29">
        <f t="shared" si="10"/>
        <v>275000</v>
      </c>
    </row>
    <row r="704" spans="1:14" x14ac:dyDescent="0.2">
      <c r="A704" s="2" t="s">
        <v>741</v>
      </c>
      <c r="B704" s="3">
        <v>45665</v>
      </c>
      <c r="C704" s="10" t="s">
        <v>15</v>
      </c>
      <c r="D704" s="10" t="s">
        <v>16</v>
      </c>
      <c r="E704" s="1" t="s">
        <v>31</v>
      </c>
      <c r="F704" s="1" t="s">
        <v>60</v>
      </c>
      <c r="G704">
        <v>225000</v>
      </c>
      <c r="H704" s="1">
        <v>3</v>
      </c>
      <c r="I704" s="1" t="s">
        <v>28</v>
      </c>
      <c r="J704" s="1" t="s">
        <v>37</v>
      </c>
      <c r="K704" s="15">
        <v>675000</v>
      </c>
      <c r="N704" s="29">
        <f t="shared" si="10"/>
        <v>675000</v>
      </c>
    </row>
  </sheetData>
  <mergeCells count="1">
    <mergeCell ref="P6:P8"/>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155F2-9143-6645-9FA7-5EA8B38361BB}">
  <dimension ref="A3:U25"/>
  <sheetViews>
    <sheetView zoomScale="75" zoomScaleNormal="89" workbookViewId="0">
      <selection activeCell="L44" sqref="L44"/>
    </sheetView>
  </sheetViews>
  <sheetFormatPr baseColWidth="10" defaultRowHeight="16" x14ac:dyDescent="0.2"/>
  <cols>
    <col min="1" max="1" width="16.6640625" bestFit="1" customWidth="1"/>
    <col min="2" max="2" width="20.83203125" bestFit="1" customWidth="1"/>
    <col min="4" max="4" width="16.6640625" bestFit="1" customWidth="1"/>
    <col min="5" max="5" width="18.6640625" bestFit="1" customWidth="1"/>
    <col min="6" max="6" width="18.5" bestFit="1" customWidth="1"/>
    <col min="7" max="7" width="16.6640625" bestFit="1" customWidth="1"/>
    <col min="8" max="8" width="18.6640625" bestFit="1" customWidth="1"/>
    <col min="12" max="12" width="16.6640625" bestFit="1" customWidth="1"/>
    <col min="13" max="13" width="18.6640625" bestFit="1" customWidth="1"/>
    <col min="14" max="14" width="20.83203125" bestFit="1" customWidth="1"/>
    <col min="15" max="15" width="16.6640625" bestFit="1" customWidth="1"/>
    <col min="16" max="16" width="18.6640625" bestFit="1" customWidth="1"/>
    <col min="19" max="20" width="16.6640625" bestFit="1" customWidth="1"/>
    <col min="21" max="21" width="18.6640625" bestFit="1" customWidth="1"/>
  </cols>
  <sheetData>
    <row r="3" spans="1:21" x14ac:dyDescent="0.2">
      <c r="A3" s="16" t="s">
        <v>742</v>
      </c>
      <c r="B3" s="17" t="s">
        <v>750</v>
      </c>
      <c r="D3" s="16" t="s">
        <v>742</v>
      </c>
      <c r="E3" s="17" t="s">
        <v>751</v>
      </c>
      <c r="G3" s="16" t="s">
        <v>742</v>
      </c>
      <c r="H3" s="17" t="s">
        <v>751</v>
      </c>
      <c r="L3" s="16" t="s">
        <v>742</v>
      </c>
      <c r="M3" s="17" t="s">
        <v>751</v>
      </c>
      <c r="O3" s="16" t="s">
        <v>742</v>
      </c>
      <c r="P3" s="17" t="s">
        <v>751</v>
      </c>
    </row>
    <row r="4" spans="1:21" x14ac:dyDescent="0.2">
      <c r="A4" s="18" t="s">
        <v>744</v>
      </c>
      <c r="B4" s="19">
        <v>1890000</v>
      </c>
      <c r="D4" s="18" t="s">
        <v>16</v>
      </c>
      <c r="E4" s="22">
        <v>51</v>
      </c>
      <c r="G4" s="18" t="s">
        <v>24</v>
      </c>
      <c r="H4" s="22">
        <v>27</v>
      </c>
      <c r="L4" s="18" t="s">
        <v>34</v>
      </c>
      <c r="M4" s="22">
        <v>12</v>
      </c>
      <c r="O4" s="18" t="s">
        <v>36</v>
      </c>
      <c r="P4" s="22">
        <v>23</v>
      </c>
      <c r="T4" s="16" t="s">
        <v>742</v>
      </c>
      <c r="U4" s="17" t="s">
        <v>751</v>
      </c>
    </row>
    <row r="5" spans="1:21" x14ac:dyDescent="0.2">
      <c r="A5" s="18" t="s">
        <v>745</v>
      </c>
      <c r="B5" s="19">
        <v>2085000</v>
      </c>
      <c r="D5" s="18" t="s">
        <v>743</v>
      </c>
      <c r="E5" s="22">
        <v>51</v>
      </c>
      <c r="G5" s="18" t="s">
        <v>15</v>
      </c>
      <c r="H5" s="22">
        <v>24</v>
      </c>
      <c r="L5" s="18" t="s">
        <v>41</v>
      </c>
      <c r="M5" s="22">
        <v>12</v>
      </c>
      <c r="O5" s="18" t="s">
        <v>26</v>
      </c>
      <c r="P5" s="22">
        <v>18</v>
      </c>
      <c r="T5" s="18" t="s">
        <v>36</v>
      </c>
      <c r="U5" s="22">
        <v>23</v>
      </c>
    </row>
    <row r="6" spans="1:21" x14ac:dyDescent="0.2">
      <c r="A6" s="18" t="s">
        <v>746</v>
      </c>
      <c r="B6" s="19">
        <v>2370000</v>
      </c>
      <c r="G6" s="18" t="s">
        <v>743</v>
      </c>
      <c r="H6" s="22">
        <v>51</v>
      </c>
      <c r="L6" s="18" t="s">
        <v>32</v>
      </c>
      <c r="M6" s="22">
        <v>10</v>
      </c>
      <c r="O6" s="18" t="s">
        <v>47</v>
      </c>
      <c r="P6" s="22">
        <v>10</v>
      </c>
      <c r="T6" s="18" t="s">
        <v>26</v>
      </c>
      <c r="U6" s="22">
        <v>18</v>
      </c>
    </row>
    <row r="7" spans="1:21" x14ac:dyDescent="0.2">
      <c r="A7" s="18" t="s">
        <v>747</v>
      </c>
      <c r="B7" s="19">
        <v>1905000</v>
      </c>
      <c r="L7" s="18" t="s">
        <v>27</v>
      </c>
      <c r="M7" s="22">
        <v>6</v>
      </c>
      <c r="O7" s="18" t="s">
        <v>743</v>
      </c>
      <c r="P7" s="22">
        <v>51</v>
      </c>
      <c r="T7" s="18" t="s">
        <v>47</v>
      </c>
      <c r="U7" s="22">
        <v>10</v>
      </c>
    </row>
    <row r="8" spans="1:21" x14ac:dyDescent="0.2">
      <c r="A8" s="18" t="s">
        <v>748</v>
      </c>
      <c r="B8" s="19">
        <v>1590000</v>
      </c>
      <c r="L8" s="18" t="s">
        <v>60</v>
      </c>
      <c r="M8" s="22">
        <v>6</v>
      </c>
      <c r="T8" s="18" t="s">
        <v>743</v>
      </c>
      <c r="U8" s="22">
        <v>51</v>
      </c>
    </row>
    <row r="9" spans="1:21" x14ac:dyDescent="0.2">
      <c r="A9" s="18" t="s">
        <v>749</v>
      </c>
      <c r="B9" s="19">
        <v>2040000</v>
      </c>
      <c r="L9" s="18" t="s">
        <v>45</v>
      </c>
      <c r="M9" s="22">
        <v>5</v>
      </c>
    </row>
    <row r="10" spans="1:21" x14ac:dyDescent="0.2">
      <c r="A10" s="18" t="s">
        <v>743</v>
      </c>
      <c r="B10" s="19">
        <v>11880000</v>
      </c>
      <c r="L10" s="18" t="s">
        <v>743</v>
      </c>
      <c r="M10" s="22">
        <v>51</v>
      </c>
    </row>
    <row r="24" spans="1:1" x14ac:dyDescent="0.2">
      <c r="A24" s="6" t="s">
        <v>752</v>
      </c>
    </row>
    <row r="25" spans="1:1" x14ac:dyDescent="0.2">
      <c r="A25" s="20">
        <f>(B7-B6)/B6</f>
        <v>-0.19620253164556961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60593-BCD0-8B45-A2D5-3EB3678AD3EC}">
  <dimension ref="A1"/>
  <sheetViews>
    <sheetView topLeftCell="A9" zoomScale="50" zoomScaleNormal="47" workbookViewId="0">
      <selection activeCell="AQ85" sqref="AQ85"/>
    </sheetView>
  </sheetViews>
  <sheetFormatPr baseColWidth="10" defaultRowHeight="16" x14ac:dyDescent="0.2"/>
  <cols>
    <col min="8" max="9" width="10.83203125" customWidth="1"/>
  </cols>
  <sheetData>
    <row r="1" spans="1:1" x14ac:dyDescent="0.2">
      <c r="A1" t="s">
        <v>753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Lembar kerja</vt:lpstr>
      </vt:variant>
      <vt:variant>
        <vt:i4>4</vt:i4>
      </vt:variant>
      <vt:variant>
        <vt:lpstr>Rentang Bernama</vt:lpstr>
      </vt:variant>
      <vt:variant>
        <vt:i4>2</vt:i4>
      </vt:variant>
    </vt:vector>
  </HeadingPairs>
  <TitlesOfParts>
    <vt:vector size="6" baseType="lpstr">
      <vt:lpstr>Raw_Data</vt:lpstr>
      <vt:lpstr>SalesData</vt:lpstr>
      <vt:lpstr>Pivot</vt:lpstr>
      <vt:lpstr>Dashboard</vt:lpstr>
      <vt:lpstr>PRODUCT_DB</vt:lpstr>
      <vt:lpstr>PRODUCT_DBNEW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sapimooo228@gmail.com</dc:creator>
  <cp:lastModifiedBy>sapimooo228@gmail.com</cp:lastModifiedBy>
  <dcterms:created xsi:type="dcterms:W3CDTF">2026-01-30T13:03:08Z</dcterms:created>
  <dcterms:modified xsi:type="dcterms:W3CDTF">2026-02-03T14:47:27Z</dcterms:modified>
</cp:coreProperties>
</file>